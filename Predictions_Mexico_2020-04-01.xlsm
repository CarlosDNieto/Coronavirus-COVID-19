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eto\Google Drive\My Projects\Coronavirus COVID-19\"/>
    </mc:Choice>
  </mc:AlternateContent>
  <xr:revisionPtr revIDLastSave="0" documentId="13_ncr:1_{EA5B9DC9-72CF-443E-85B4-CD533E053E54}" xr6:coauthVersionLast="44" xr6:coauthVersionMax="44" xr10:uidLastSave="{00000000-0000-0000-0000-000000000000}"/>
  <bookViews>
    <workbookView xWindow="-120" yWindow="-120" windowWidth="20730" windowHeight="11760" firstSheet="1" activeTab="3" xr2:uid="{00000000-000D-0000-FFFF-FFFF00000000}"/>
  </bookViews>
  <sheets>
    <sheet name="Pronósticos 0104" sheetId="8" r:id="rId1"/>
    <sheet name="Pronósticos 0204 (2)" sheetId="9" r:id="rId2"/>
    <sheet name="Pronósticos 0304 (3)" sheetId="10" r:id="rId3"/>
    <sheet name="Pronósticos 0604" sheetId="1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3" i="12" l="1"/>
  <c r="X4" i="12" s="1"/>
  <c r="X5" i="12" s="1"/>
  <c r="J38" i="12"/>
  <c r="J39" i="12"/>
  <c r="J40" i="12"/>
  <c r="J41" i="12"/>
  <c r="J42" i="12"/>
  <c r="J43" i="12"/>
  <c r="J44" i="12"/>
  <c r="J37" i="12"/>
  <c r="J36" i="12"/>
  <c r="D34" i="12"/>
  <c r="E34" i="12"/>
  <c r="F34" i="12" s="1"/>
  <c r="D35" i="12"/>
  <c r="E35" i="12"/>
  <c r="F35" i="12"/>
  <c r="D36" i="12"/>
  <c r="E36" i="12"/>
  <c r="F36" i="12"/>
  <c r="B44" i="12"/>
  <c r="B41" i="12"/>
  <c r="B42" i="12"/>
  <c r="B43" i="12"/>
  <c r="I36" i="12"/>
  <c r="H36" i="12"/>
  <c r="G36" i="12"/>
  <c r="B40" i="12"/>
  <c r="B39" i="12"/>
  <c r="B38" i="12"/>
  <c r="B37" i="12"/>
  <c r="B36" i="12"/>
  <c r="B35" i="12"/>
  <c r="B34" i="12"/>
  <c r="F33" i="12"/>
  <c r="E33" i="12"/>
  <c r="D33" i="12"/>
  <c r="B33" i="12"/>
  <c r="F32" i="12"/>
  <c r="E32" i="12"/>
  <c r="D32" i="12"/>
  <c r="B32" i="12"/>
  <c r="F31" i="12"/>
  <c r="E31" i="12"/>
  <c r="D31" i="12"/>
  <c r="B31" i="12"/>
  <c r="F30" i="12"/>
  <c r="E30" i="12"/>
  <c r="D30" i="12"/>
  <c r="B30" i="12"/>
  <c r="F29" i="12"/>
  <c r="E29" i="12"/>
  <c r="D29" i="12"/>
  <c r="B29" i="12"/>
  <c r="F28" i="12"/>
  <c r="E28" i="12"/>
  <c r="D28" i="12"/>
  <c r="B28" i="12"/>
  <c r="F27" i="12"/>
  <c r="E27" i="12"/>
  <c r="D27" i="12"/>
  <c r="B27" i="12"/>
  <c r="F26" i="12"/>
  <c r="E26" i="12"/>
  <c r="D26" i="12"/>
  <c r="B26" i="12"/>
  <c r="F25" i="12"/>
  <c r="E25" i="12"/>
  <c r="D25" i="12"/>
  <c r="B25" i="12"/>
  <c r="F24" i="12"/>
  <c r="E24" i="12"/>
  <c r="D24" i="12"/>
  <c r="B24" i="12"/>
  <c r="F23" i="12"/>
  <c r="E23" i="12"/>
  <c r="D23" i="12"/>
  <c r="B23" i="12"/>
  <c r="F22" i="12"/>
  <c r="E22" i="12"/>
  <c r="D22" i="12"/>
  <c r="B22" i="12"/>
  <c r="F21" i="12"/>
  <c r="E21" i="12"/>
  <c r="D21" i="12"/>
  <c r="B21" i="12"/>
  <c r="F20" i="12"/>
  <c r="E20" i="12"/>
  <c r="D20" i="12"/>
  <c r="E19" i="12"/>
  <c r="F19" i="12" s="1"/>
  <c r="D19" i="12"/>
  <c r="A19" i="12"/>
  <c r="E18" i="12"/>
  <c r="F18" i="12" s="1"/>
  <c r="D18" i="12"/>
  <c r="A18" i="12"/>
  <c r="E17" i="12"/>
  <c r="F17" i="12" s="1"/>
  <c r="D17" i="12"/>
  <c r="A17" i="12"/>
  <c r="E16" i="12"/>
  <c r="F16" i="12" s="1"/>
  <c r="D16" i="12"/>
  <c r="A16" i="12"/>
  <c r="E15" i="12"/>
  <c r="F15" i="12" s="1"/>
  <c r="D15" i="12"/>
  <c r="A15" i="12"/>
  <c r="E14" i="12"/>
  <c r="F14" i="12" s="1"/>
  <c r="D14" i="12"/>
  <c r="A14" i="12"/>
  <c r="E13" i="12"/>
  <c r="F13" i="12" s="1"/>
  <c r="D13" i="12"/>
  <c r="A13" i="12"/>
  <c r="E12" i="12"/>
  <c r="F12" i="12" s="1"/>
  <c r="D12" i="12"/>
  <c r="A12" i="12"/>
  <c r="E11" i="12"/>
  <c r="F11" i="12" s="1"/>
  <c r="D11" i="12"/>
  <c r="A11" i="12"/>
  <c r="E10" i="12"/>
  <c r="F10" i="12" s="1"/>
  <c r="D10" i="12"/>
  <c r="A10" i="12"/>
  <c r="E9" i="12"/>
  <c r="D9" i="12"/>
  <c r="A9" i="12"/>
  <c r="E8" i="12"/>
  <c r="F8" i="12" s="1"/>
  <c r="D8" i="12"/>
  <c r="A8" i="12"/>
  <c r="AA7" i="12"/>
  <c r="Z7" i="12"/>
  <c r="E7" i="12"/>
  <c r="F7" i="12" s="1"/>
  <c r="D7" i="12"/>
  <c r="A7" i="12"/>
  <c r="E6" i="12"/>
  <c r="F6" i="12" s="1"/>
  <c r="D6" i="12"/>
  <c r="A6" i="12"/>
  <c r="F5" i="12"/>
  <c r="E5" i="12"/>
  <c r="D5" i="12"/>
  <c r="A5" i="12"/>
  <c r="E4" i="12"/>
  <c r="F4" i="12" s="1"/>
  <c r="D4" i="12"/>
  <c r="A4" i="12"/>
  <c r="D3" i="12"/>
  <c r="A3" i="12"/>
  <c r="H42" i="12"/>
  <c r="H41" i="12"/>
  <c r="H44" i="12"/>
  <c r="H43" i="12"/>
  <c r="H39" i="12"/>
  <c r="H38" i="12"/>
  <c r="H40" i="12"/>
  <c r="I37" i="12"/>
  <c r="G37" i="12"/>
  <c r="H37" i="12"/>
  <c r="Y3" i="12" l="1"/>
  <c r="X6" i="12"/>
  <c r="Y5" i="12"/>
  <c r="F9" i="12"/>
  <c r="Y4" i="12"/>
  <c r="J35" i="10"/>
  <c r="J36" i="10"/>
  <c r="J37" i="10"/>
  <c r="J38" i="10"/>
  <c r="J39" i="10"/>
  <c r="J40" i="10"/>
  <c r="J33" i="10"/>
  <c r="Y6" i="10"/>
  <c r="Y4" i="10"/>
  <c r="Y5" i="10"/>
  <c r="X3" i="10"/>
  <c r="D33" i="10"/>
  <c r="E33" i="10"/>
  <c r="F33" i="10"/>
  <c r="B40" i="10"/>
  <c r="H33" i="10"/>
  <c r="I33" i="10"/>
  <c r="G33" i="10"/>
  <c r="B39" i="10"/>
  <c r="B38" i="10"/>
  <c r="B37" i="10"/>
  <c r="B36" i="10"/>
  <c r="B35" i="10"/>
  <c r="B34" i="10"/>
  <c r="B33" i="10"/>
  <c r="F32" i="10"/>
  <c r="E32" i="10"/>
  <c r="D32" i="10"/>
  <c r="B32" i="10"/>
  <c r="F31" i="10"/>
  <c r="E31" i="10"/>
  <c r="D31" i="10"/>
  <c r="B31" i="10"/>
  <c r="F30" i="10"/>
  <c r="E30" i="10"/>
  <c r="D30" i="10"/>
  <c r="B30" i="10"/>
  <c r="F29" i="10"/>
  <c r="E29" i="10"/>
  <c r="D29" i="10"/>
  <c r="B29" i="10"/>
  <c r="F28" i="10"/>
  <c r="E28" i="10"/>
  <c r="D28" i="10"/>
  <c r="B28" i="10"/>
  <c r="F27" i="10"/>
  <c r="E27" i="10"/>
  <c r="D27" i="10"/>
  <c r="B27" i="10"/>
  <c r="F26" i="10"/>
  <c r="E26" i="10"/>
  <c r="D26" i="10"/>
  <c r="B26" i="10"/>
  <c r="F25" i="10"/>
  <c r="E25" i="10"/>
  <c r="D25" i="10"/>
  <c r="B25" i="10"/>
  <c r="F24" i="10"/>
  <c r="E24" i="10"/>
  <c r="D24" i="10"/>
  <c r="B24" i="10"/>
  <c r="F23" i="10"/>
  <c r="E23" i="10"/>
  <c r="D23" i="10"/>
  <c r="B23" i="10"/>
  <c r="F22" i="10"/>
  <c r="E22" i="10"/>
  <c r="D22" i="10"/>
  <c r="B22" i="10"/>
  <c r="F21" i="10"/>
  <c r="E21" i="10"/>
  <c r="D21" i="10"/>
  <c r="B21" i="10"/>
  <c r="F20" i="10"/>
  <c r="E20" i="10"/>
  <c r="D20" i="10"/>
  <c r="E19" i="10"/>
  <c r="F19" i="10" s="1"/>
  <c r="D19" i="10"/>
  <c r="A19" i="10"/>
  <c r="E18" i="10"/>
  <c r="F18" i="10" s="1"/>
  <c r="D18" i="10"/>
  <c r="A18" i="10"/>
  <c r="E17" i="10"/>
  <c r="F17" i="10" s="1"/>
  <c r="D17" i="10"/>
  <c r="A17" i="10"/>
  <c r="E16" i="10"/>
  <c r="F16" i="10" s="1"/>
  <c r="D16" i="10"/>
  <c r="A16" i="10"/>
  <c r="E15" i="10"/>
  <c r="F15" i="10" s="1"/>
  <c r="D15" i="10"/>
  <c r="A15" i="10"/>
  <c r="E14" i="10"/>
  <c r="F14" i="10" s="1"/>
  <c r="D14" i="10"/>
  <c r="A14" i="10"/>
  <c r="E13" i="10"/>
  <c r="F13" i="10" s="1"/>
  <c r="D13" i="10"/>
  <c r="A13" i="10"/>
  <c r="E12" i="10"/>
  <c r="F12" i="10" s="1"/>
  <c r="D12" i="10"/>
  <c r="A12" i="10"/>
  <c r="E11" i="10"/>
  <c r="F11" i="10" s="1"/>
  <c r="D11" i="10"/>
  <c r="A11" i="10"/>
  <c r="E10" i="10"/>
  <c r="F10" i="10" s="1"/>
  <c r="D10" i="10"/>
  <c r="A10" i="10"/>
  <c r="E9" i="10"/>
  <c r="D9" i="10"/>
  <c r="A9" i="10"/>
  <c r="E8" i="10"/>
  <c r="F8" i="10" s="1"/>
  <c r="D8" i="10"/>
  <c r="A8" i="10"/>
  <c r="E7" i="10"/>
  <c r="F7" i="10" s="1"/>
  <c r="D7" i="10"/>
  <c r="A7" i="10"/>
  <c r="E6" i="10"/>
  <c r="F6" i="10" s="1"/>
  <c r="D6" i="10"/>
  <c r="A6" i="10"/>
  <c r="F5" i="10"/>
  <c r="E5" i="10"/>
  <c r="D5" i="10"/>
  <c r="A5" i="10"/>
  <c r="X4" i="10"/>
  <c r="X5" i="10" s="1"/>
  <c r="E4" i="10"/>
  <c r="F4" i="10" s="1"/>
  <c r="D4" i="10"/>
  <c r="A4" i="10"/>
  <c r="Y3" i="10"/>
  <c r="D3" i="10"/>
  <c r="A3" i="10"/>
  <c r="I35" i="10"/>
  <c r="I39" i="10"/>
  <c r="I37" i="10"/>
  <c r="I36" i="10"/>
  <c r="I38" i="10"/>
  <c r="H35" i="10"/>
  <c r="H39" i="10"/>
  <c r="H37" i="10"/>
  <c r="H36" i="10"/>
  <c r="H40" i="10"/>
  <c r="I40" i="10" s="1"/>
  <c r="H38" i="10"/>
  <c r="G35" i="10"/>
  <c r="G39" i="10"/>
  <c r="G36" i="10"/>
  <c r="G40" i="10"/>
  <c r="G37" i="10"/>
  <c r="G38" i="10"/>
  <c r="I34" i="10"/>
  <c r="H34" i="10"/>
  <c r="G34" i="10"/>
  <c r="I44" i="12"/>
  <c r="G42" i="12"/>
  <c r="I43" i="12"/>
  <c r="G41" i="12"/>
  <c r="G43" i="12"/>
  <c r="I41" i="12"/>
  <c r="G44" i="12"/>
  <c r="I42" i="12"/>
  <c r="I40" i="12"/>
  <c r="I39" i="12"/>
  <c r="G40" i="12"/>
  <c r="G39" i="12"/>
  <c r="G38" i="12"/>
  <c r="I38" i="12"/>
  <c r="AA4" i="12" l="1"/>
  <c r="AB4" i="12" s="1"/>
  <c r="Z4" i="12"/>
  <c r="Z3" i="12"/>
  <c r="AA3" i="12"/>
  <c r="AB3" i="12" s="1"/>
  <c r="X7" i="12"/>
  <c r="Y6" i="12"/>
  <c r="X6" i="10"/>
  <c r="X7" i="10" s="1"/>
  <c r="F9" i="10"/>
  <c r="AA3" i="10"/>
  <c r="AB3" i="10" s="1"/>
  <c r="X3" i="9"/>
  <c r="F32" i="9"/>
  <c r="E32" i="9"/>
  <c r="D32" i="9"/>
  <c r="J32" i="9"/>
  <c r="H32" i="9"/>
  <c r="I32" i="9"/>
  <c r="G32" i="9"/>
  <c r="B39" i="9"/>
  <c r="B38" i="9"/>
  <c r="B37" i="9"/>
  <c r="B36" i="9"/>
  <c r="B35" i="9"/>
  <c r="B34" i="9"/>
  <c r="B33" i="9"/>
  <c r="B32" i="9"/>
  <c r="E31" i="9"/>
  <c r="F31" i="9" s="1"/>
  <c r="D31" i="9"/>
  <c r="B31" i="9"/>
  <c r="E30" i="9"/>
  <c r="F30" i="9" s="1"/>
  <c r="D30" i="9"/>
  <c r="B30" i="9"/>
  <c r="E29" i="9"/>
  <c r="F29" i="9" s="1"/>
  <c r="D29" i="9"/>
  <c r="B29" i="9"/>
  <c r="E28" i="9"/>
  <c r="F28" i="9" s="1"/>
  <c r="D28" i="9"/>
  <c r="B28" i="9"/>
  <c r="E27" i="9"/>
  <c r="F27" i="9" s="1"/>
  <c r="D27" i="9"/>
  <c r="B27" i="9"/>
  <c r="E26" i="9"/>
  <c r="F26" i="9" s="1"/>
  <c r="D26" i="9"/>
  <c r="B26" i="9"/>
  <c r="E25" i="9"/>
  <c r="F25" i="9" s="1"/>
  <c r="D25" i="9"/>
  <c r="B25" i="9"/>
  <c r="E24" i="9"/>
  <c r="F24" i="9" s="1"/>
  <c r="D24" i="9"/>
  <c r="B24" i="9"/>
  <c r="E23" i="9"/>
  <c r="F23" i="9" s="1"/>
  <c r="D23" i="9"/>
  <c r="B23" i="9"/>
  <c r="E22" i="9"/>
  <c r="F22" i="9" s="1"/>
  <c r="D22" i="9"/>
  <c r="B22" i="9"/>
  <c r="E21" i="9"/>
  <c r="F21" i="9" s="1"/>
  <c r="D21" i="9"/>
  <c r="B21" i="9"/>
  <c r="E20" i="9"/>
  <c r="F20" i="9" s="1"/>
  <c r="D20" i="9"/>
  <c r="E19" i="9"/>
  <c r="F19" i="9" s="1"/>
  <c r="D19" i="9"/>
  <c r="A19" i="9"/>
  <c r="E18" i="9"/>
  <c r="F18" i="9" s="1"/>
  <c r="D18" i="9"/>
  <c r="A18" i="9"/>
  <c r="E17" i="9"/>
  <c r="F17" i="9" s="1"/>
  <c r="D17" i="9"/>
  <c r="A17" i="9"/>
  <c r="E16" i="9"/>
  <c r="F16" i="9" s="1"/>
  <c r="D16" i="9"/>
  <c r="A16" i="9"/>
  <c r="E15" i="9"/>
  <c r="F15" i="9" s="1"/>
  <c r="D15" i="9"/>
  <c r="A15" i="9"/>
  <c r="E14" i="9"/>
  <c r="F14" i="9" s="1"/>
  <c r="D14" i="9"/>
  <c r="A14" i="9"/>
  <c r="E13" i="9"/>
  <c r="F13" i="9" s="1"/>
  <c r="D13" i="9"/>
  <c r="A13" i="9"/>
  <c r="E12" i="9"/>
  <c r="F12" i="9" s="1"/>
  <c r="D12" i="9"/>
  <c r="A12" i="9"/>
  <c r="E11" i="9"/>
  <c r="F11" i="9" s="1"/>
  <c r="D11" i="9"/>
  <c r="A11" i="9"/>
  <c r="E10" i="9"/>
  <c r="F10" i="9" s="1"/>
  <c r="D10" i="9"/>
  <c r="A10" i="9"/>
  <c r="E9" i="9"/>
  <c r="F9" i="9" s="1"/>
  <c r="D9" i="9"/>
  <c r="A9" i="9"/>
  <c r="E8" i="9"/>
  <c r="F8" i="9" s="1"/>
  <c r="D8" i="9"/>
  <c r="A8" i="9"/>
  <c r="E7" i="9"/>
  <c r="F7" i="9" s="1"/>
  <c r="D7" i="9"/>
  <c r="A7" i="9"/>
  <c r="E6" i="9"/>
  <c r="F6" i="9" s="1"/>
  <c r="D6" i="9"/>
  <c r="A6" i="9"/>
  <c r="F5" i="9"/>
  <c r="E5" i="9"/>
  <c r="D5" i="9"/>
  <c r="A5" i="9"/>
  <c r="E4" i="9"/>
  <c r="F4" i="9" s="1"/>
  <c r="D4" i="9"/>
  <c r="A4" i="9"/>
  <c r="D3" i="9"/>
  <c r="A3" i="9"/>
  <c r="I34" i="9"/>
  <c r="I38" i="9"/>
  <c r="I35" i="9"/>
  <c r="I39" i="9"/>
  <c r="I36" i="9"/>
  <c r="I37" i="9"/>
  <c r="I33" i="9"/>
  <c r="H34" i="9"/>
  <c r="H35" i="9"/>
  <c r="H36" i="9"/>
  <c r="H37" i="9"/>
  <c r="H38" i="9"/>
  <c r="H39" i="9"/>
  <c r="H33" i="9"/>
  <c r="G34" i="9"/>
  <c r="G38" i="9"/>
  <c r="G39" i="9"/>
  <c r="G36" i="9"/>
  <c r="G37" i="9"/>
  <c r="G35" i="9"/>
  <c r="G33" i="9"/>
  <c r="Z6" i="12" l="1"/>
  <c r="AA6" i="12"/>
  <c r="AB6" i="12" s="1"/>
  <c r="AA5" i="12"/>
  <c r="AB5" i="12" s="1"/>
  <c r="Z5" i="12"/>
  <c r="Z3" i="10"/>
  <c r="J34" i="10"/>
  <c r="AA4" i="10"/>
  <c r="AB4" i="10" s="1"/>
  <c r="Z4" i="10"/>
  <c r="Z6" i="10"/>
  <c r="AA7" i="10"/>
  <c r="Z7" i="10"/>
  <c r="AA6" i="10"/>
  <c r="AB6" i="10" s="1"/>
  <c r="Z5" i="10"/>
  <c r="AA5" i="10"/>
  <c r="AB5" i="10" s="1"/>
  <c r="X4" i="9"/>
  <c r="Y3" i="9"/>
  <c r="J32" i="8"/>
  <c r="J33" i="8"/>
  <c r="J34" i="8"/>
  <c r="J35" i="8"/>
  <c r="J36" i="8"/>
  <c r="J37" i="8"/>
  <c r="J38" i="8"/>
  <c r="J31" i="8"/>
  <c r="F31" i="8"/>
  <c r="F5" i="8"/>
  <c r="F6" i="8"/>
  <c r="F7" i="8"/>
  <c r="F8" i="8"/>
  <c r="F9" i="8" s="1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4" i="8"/>
  <c r="E4" i="8"/>
  <c r="Y3" i="8"/>
  <c r="X4" i="8"/>
  <c r="X5" i="8" s="1"/>
  <c r="X3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4" i="8"/>
  <c r="D3" i="8"/>
  <c r="J36" i="9" l="1"/>
  <c r="J37" i="9"/>
  <c r="J38" i="9"/>
  <c r="J35" i="9"/>
  <c r="J39" i="9"/>
  <c r="J33" i="9"/>
  <c r="J34" i="9"/>
  <c r="X5" i="9"/>
  <c r="Y4" i="9"/>
  <c r="X6" i="8"/>
  <c r="Y5" i="8"/>
  <c r="Y4" i="8"/>
  <c r="Z3" i="8" s="1"/>
  <c r="I31" i="8"/>
  <c r="G31" i="8"/>
  <c r="H31" i="8"/>
  <c r="A4" i="8"/>
  <c r="A3" i="8"/>
  <c r="X6" i="9" l="1"/>
  <c r="Y5" i="9"/>
  <c r="AA3" i="9"/>
  <c r="AB3" i="9" s="1"/>
  <c r="Z3" i="9"/>
  <c r="AA4" i="8"/>
  <c r="AB4" i="8" s="1"/>
  <c r="Z4" i="8"/>
  <c r="AA3" i="8"/>
  <c r="AB3" i="8" s="1"/>
  <c r="Y6" i="8"/>
  <c r="X7" i="8"/>
  <c r="Y7" i="8" s="1"/>
  <c r="Z5" i="9" l="1"/>
  <c r="AA5" i="9"/>
  <c r="X7" i="9"/>
  <c r="Y7" i="9" s="1"/>
  <c r="Z4" i="9"/>
  <c r="AA4" i="9"/>
  <c r="AB4" i="9" s="1"/>
  <c r="Z6" i="8"/>
  <c r="AA6" i="8"/>
  <c r="AB6" i="8" s="1"/>
  <c r="Z7" i="8"/>
  <c r="AA7" i="8"/>
  <c r="Z5" i="8"/>
  <c r="AA5" i="8"/>
  <c r="AB5" i="8" s="1"/>
  <c r="Z6" i="9" l="1"/>
  <c r="AA6" i="9"/>
  <c r="AB6" i="9" s="1"/>
  <c r="AA7" i="9"/>
  <c r="Z7" i="9"/>
  <c r="AB5" i="9"/>
  <c r="B22" i="8"/>
  <c r="B26" i="8"/>
  <c r="B30" i="8"/>
  <c r="B23" i="8"/>
  <c r="B27" i="8"/>
  <c r="B31" i="8"/>
  <c r="B24" i="8"/>
  <c r="B28" i="8"/>
  <c r="B21" i="8"/>
  <c r="B25" i="8"/>
  <c r="B29" i="8"/>
  <c r="B32" i="8"/>
  <c r="H32" i="8"/>
  <c r="G32" i="8" s="1"/>
  <c r="I32" i="8"/>
  <c r="B35" i="8"/>
  <c r="H35" i="8"/>
  <c r="B36" i="8" l="1"/>
  <c r="G35" i="8"/>
  <c r="I35" i="8"/>
  <c r="H36" i="8"/>
  <c r="B38" i="8" l="1"/>
  <c r="G36" i="8"/>
  <c r="I36" i="8"/>
  <c r="H38" i="8"/>
  <c r="B34" i="8" l="1"/>
  <c r="G38" i="8"/>
  <c r="I38" i="8"/>
  <c r="H34" i="8"/>
  <c r="B37" i="8" l="1"/>
  <c r="G34" i="8"/>
  <c r="I34" i="8"/>
  <c r="H37" i="8"/>
  <c r="B33" i="8" l="1"/>
  <c r="G37" i="8"/>
  <c r="I37" i="8"/>
  <c r="H33" i="8"/>
  <c r="G33" i="8"/>
  <c r="I33" i="8"/>
</calcChain>
</file>

<file path=xl/sharedStrings.xml><?xml version="1.0" encoding="utf-8"?>
<sst xmlns="http://schemas.openxmlformats.org/spreadsheetml/2006/main" count="92" uniqueCount="21">
  <si>
    <t>Pronósticos</t>
  </si>
  <si>
    <t>Lim inf</t>
  </si>
  <si>
    <t>Pronostico</t>
  </si>
  <si>
    <t>Lim Sup</t>
  </si>
  <si>
    <t>Fecha</t>
  </si>
  <si>
    <t>No Día</t>
  </si>
  <si>
    <t>Ct:
Casos Confirm.
Al tiempo t</t>
  </si>
  <si>
    <r>
      <rPr>
        <b/>
        <sz val="16"/>
        <color theme="0"/>
        <rFont val="Calibri"/>
        <family val="2"/>
        <scheme val="minor"/>
      </rPr>
      <t>C</t>
    </r>
    <r>
      <rPr>
        <b/>
        <vertAlign val="subscript"/>
        <sz val="16"/>
        <color theme="0"/>
        <rFont val="Calibri"/>
        <family val="2"/>
        <scheme val="minor"/>
      </rPr>
      <t>t</t>
    </r>
    <r>
      <rPr>
        <b/>
        <sz val="16"/>
        <color theme="0"/>
        <rFont val="Calibri"/>
        <family val="2"/>
        <scheme val="minor"/>
      </rPr>
      <t>/C</t>
    </r>
    <r>
      <rPr>
        <b/>
        <vertAlign val="subscript"/>
        <sz val="16"/>
        <color theme="0"/>
        <rFont val="Calibri"/>
        <family val="2"/>
        <scheme val="minor"/>
      </rPr>
      <t>t-1</t>
    </r>
  </si>
  <si>
    <r>
      <t>Delta</t>
    </r>
    <r>
      <rPr>
        <b/>
        <vertAlign val="subscript"/>
        <sz val="12"/>
        <color theme="0"/>
        <rFont val="Calibri"/>
        <family val="2"/>
        <scheme val="minor"/>
      </rPr>
      <t xml:space="preserve">t
</t>
    </r>
    <r>
      <rPr>
        <b/>
        <sz val="12"/>
        <color theme="0"/>
        <rFont val="Calibri"/>
        <family val="2"/>
        <scheme val="minor"/>
      </rPr>
      <t>Incrementos</t>
    </r>
  </si>
  <si>
    <t>Casos Diarios</t>
  </si>
  <si>
    <t>Casos Semanales</t>
  </si>
  <si>
    <t>Ct</t>
  </si>
  <si>
    <t>Delta</t>
  </si>
  <si>
    <t>Ct/Ct-1</t>
  </si>
  <si>
    <t>Doubling Time</t>
  </si>
  <si>
    <t>Semana</t>
  </si>
  <si>
    <t>Semana 5</t>
  </si>
  <si>
    <t>Semana 4</t>
  </si>
  <si>
    <t>Semana 3</t>
  </si>
  <si>
    <t>Semana 2</t>
  </si>
  <si>
    <t>Semana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</si>
</sst>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_-* #,##0.000_-;\-* #,##0.00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vertAlign val="subscript"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vertAlign val="subscript"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C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14" fontId="0" fillId="0" borderId="0" xfId="0" applyNumberFormat="1"/>
    <xf numFmtId="1" fontId="0" fillId="36" borderId="10" xfId="0" applyNumberFormat="1" applyFill="1" applyBorder="1"/>
    <xf numFmtId="14" fontId="0" fillId="36" borderId="10" xfId="0" applyNumberFormat="1" applyFill="1" applyBorder="1"/>
    <xf numFmtId="0" fontId="0" fillId="36" borderId="10" xfId="0" applyFill="1" applyBorder="1"/>
    <xf numFmtId="0" fontId="0" fillId="0" borderId="10" xfId="0" applyBorder="1"/>
    <xf numFmtId="164" fontId="0" fillId="0" borderId="10" xfId="1" applyNumberFormat="1" applyFont="1" applyBorder="1"/>
    <xf numFmtId="164" fontId="0" fillId="37" borderId="10" xfId="1" applyNumberFormat="1" applyFont="1" applyFill="1" applyBorder="1"/>
    <xf numFmtId="164" fontId="0" fillId="36" borderId="10" xfId="1" applyNumberFormat="1" applyFont="1" applyFill="1" applyBorder="1"/>
    <xf numFmtId="164" fontId="0" fillId="38" borderId="10" xfId="1" applyNumberFormat="1" applyFont="1" applyFill="1" applyBorder="1"/>
    <xf numFmtId="0" fontId="0" fillId="38" borderId="10" xfId="0" applyFill="1" applyBorder="1"/>
    <xf numFmtId="0" fontId="20" fillId="39" borderId="0" xfId="0" applyFont="1" applyFill="1" applyAlignment="1">
      <alignment horizontal="center" vertical="center" wrapText="1"/>
    </xf>
    <xf numFmtId="0" fontId="18" fillId="35" borderId="0" xfId="0" applyFont="1" applyFill="1" applyAlignment="1">
      <alignment horizontal="center" vertical="center" wrapText="1"/>
    </xf>
    <xf numFmtId="0" fontId="18" fillId="39" borderId="0" xfId="0" applyFont="1" applyFill="1" applyAlignment="1">
      <alignment horizontal="center" vertical="center" wrapText="1"/>
    </xf>
    <xf numFmtId="0" fontId="22" fillId="34" borderId="0" xfId="0" applyFont="1" applyFill="1" applyAlignment="1">
      <alignment horizontal="center" vertical="center" wrapText="1"/>
    </xf>
    <xf numFmtId="165" fontId="0" fillId="38" borderId="10" xfId="1" applyNumberFormat="1" applyFont="1" applyFill="1" applyBorder="1"/>
    <xf numFmtId="0" fontId="16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14" fontId="0" fillId="0" borderId="12" xfId="0" applyNumberFormat="1" applyBorder="1"/>
    <xf numFmtId="164" fontId="0" fillId="0" borderId="12" xfId="1" applyNumberFormat="1" applyFont="1" applyBorder="1"/>
    <xf numFmtId="164" fontId="0" fillId="0" borderId="12" xfId="0" applyNumberFormat="1" applyBorder="1"/>
    <xf numFmtId="43" fontId="0" fillId="0" borderId="12" xfId="0" applyNumberFormat="1" applyBorder="1"/>
    <xf numFmtId="0" fontId="23" fillId="0" borderId="0" xfId="0" applyFont="1"/>
    <xf numFmtId="0" fontId="23" fillId="40" borderId="0" xfId="0" applyFont="1" applyFill="1"/>
    <xf numFmtId="0" fontId="0" fillId="40" borderId="0" xfId="0" applyFill="1"/>
    <xf numFmtId="14" fontId="0" fillId="0" borderId="10" xfId="0" applyNumberFormat="1" applyBorder="1"/>
    <xf numFmtId="164" fontId="0" fillId="0" borderId="10" xfId="0" applyNumberFormat="1" applyBorder="1"/>
    <xf numFmtId="43" fontId="0" fillId="0" borderId="10" xfId="0" applyNumberFormat="1" applyBorder="1"/>
    <xf numFmtId="0" fontId="0" fillId="0" borderId="12" xfId="0" applyBorder="1"/>
    <xf numFmtId="0" fontId="0" fillId="0" borderId="0" xfId="0" applyBorder="1"/>
    <xf numFmtId="0" fontId="16" fillId="33" borderId="0" xfId="0" applyFont="1" applyFill="1" applyAlignment="1">
      <alignment horizontal="center" wrapText="1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colors>
    <mruColors>
      <color rgb="FFF8CBC4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Casos Acumulados de COVID-19 en México</a:t>
            </a:r>
            <a:endParaRPr lang="es-MX" sz="1100" b="0"/>
          </a:p>
          <a:p>
            <a:pPr algn="l">
              <a:defRPr/>
            </a:pPr>
            <a:r>
              <a:rPr lang="es-MX" sz="1100" b="0"/>
              <a:t>Última</a:t>
            </a:r>
            <a:r>
              <a:rPr lang="es-MX" sz="1100" b="0" baseline="0"/>
              <a:t> Actualización: 01/04/2020</a:t>
            </a:r>
          </a:p>
          <a:p>
            <a:pPr algn="l">
              <a:defRPr/>
            </a:pPr>
            <a:r>
              <a:rPr lang="es-MX" sz="1100" b="0" baseline="0"/>
              <a:t>Con predicciones (1 semana a futuro)</a:t>
            </a:r>
            <a:endParaRPr lang="es-MX" sz="1050" b="1"/>
          </a:p>
        </c:rich>
      </c:tx>
      <c:layout>
        <c:manualLayout>
          <c:xMode val="edge"/>
          <c:yMode val="edge"/>
          <c:x val="1.0770157661603191E-2"/>
          <c:y val="1.73160173160173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0104'!$C$2</c:f>
              <c:strCache>
                <c:ptCount val="1"/>
                <c:pt idx="0">
                  <c:v>Ct:
Casos Confirm.
Al tiempo 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28"/>
              <c:layout>
                <c:manualLayout>
                  <c:x val="-0.19603264809701815"/>
                  <c:y val="1.0389610389610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F5-450C-9D02-14D95722C0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0104'!$B$3:$B$38</c:f>
              <c:numCache>
                <c:formatCode>m/d/yyyy</c:formatCode>
                <c:ptCount val="3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</c:numCache>
            </c:numRef>
          </c:cat>
          <c:val>
            <c:numRef>
              <c:f>'Pronósticos 0104'!$C$3:$C$38</c:f>
              <c:numCache>
                <c:formatCode>_-* #,##0_-;\-* #,##0_-;_-* "-"??_-;_-@_-</c:formatCode>
                <c:ptCount val="36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  <c:pt idx="18">
                  <c:v>316</c:v>
                </c:pt>
                <c:pt idx="19">
                  <c:v>367</c:v>
                </c:pt>
                <c:pt idx="20">
                  <c:v>405</c:v>
                </c:pt>
                <c:pt idx="21">
                  <c:v>475</c:v>
                </c:pt>
                <c:pt idx="22">
                  <c:v>585</c:v>
                </c:pt>
                <c:pt idx="23">
                  <c:v>717</c:v>
                </c:pt>
                <c:pt idx="24">
                  <c:v>848</c:v>
                </c:pt>
                <c:pt idx="25">
                  <c:v>993</c:v>
                </c:pt>
                <c:pt idx="26">
                  <c:v>1094</c:v>
                </c:pt>
                <c:pt idx="27">
                  <c:v>1215</c:v>
                </c:pt>
                <c:pt idx="28">
                  <c:v>1378</c:v>
                </c:pt>
                <c:pt idx="29">
                  <c:v>1510</c:v>
                </c:pt>
                <c:pt idx="30">
                  <c:v>1688</c:v>
                </c:pt>
                <c:pt idx="31">
                  <c:v>1890</c:v>
                </c:pt>
                <c:pt idx="32">
                  <c:v>2143</c:v>
                </c:pt>
                <c:pt idx="33">
                  <c:v>2439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50C-9D02-14D95722C02A}"/>
            </c:ext>
          </c:extLst>
        </c:ser>
        <c:ser>
          <c:idx val="1"/>
          <c:order val="1"/>
          <c:tx>
            <c:v>Limite Inferior</c:v>
          </c:tx>
          <c:spPr>
            <a:ln w="28575" cap="rnd">
              <a:solidFill>
                <a:srgbClr val="F8CB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35"/>
              <c:layout>
                <c:manualLayout>
                  <c:x val="-9.9572138715945849E-2"/>
                  <c:y val="-0.1595418224973356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F5-450C-9D02-14D95722C0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'Pronósticos 0104'!$G$3:$G$38</c:f>
              <c:numCache>
                <c:formatCode>General</c:formatCode>
                <c:ptCount val="36"/>
                <c:pt idx="28" formatCode="_-* #,##0_-;\-* #,##0_-;_-* &quot;-&quot;??_-;_-@_-">
                  <c:v>1378</c:v>
                </c:pt>
                <c:pt idx="29" formatCode="_-* #,##0_-;\-* #,##0_-;_-* &quot;-&quot;??_-;_-@_-">
                  <c:v>1466.0206324284015</c:v>
                </c:pt>
                <c:pt idx="30" formatCode="_-* #,##0_-;\-* #,##0_-;_-* &quot;-&quot;??_-;_-@_-">
                  <c:v>1576.4626860034293</c:v>
                </c:pt>
                <c:pt idx="31" formatCode="_-* #,##0_-;\-* #,##0_-;_-* &quot;-&quot;??_-;_-@_-">
                  <c:v>1673.4448290603054</c:v>
                </c:pt>
                <c:pt idx="32" formatCode="_-* #,##0_-;\-* #,##0_-;_-* &quot;-&quot;??_-;_-@_-">
                  <c:v>1760.8579935463849</c:v>
                </c:pt>
                <c:pt idx="33" formatCode="_-* #,##0_-;\-* #,##0_-;_-* &quot;-&quot;??_-;_-@_-">
                  <c:v>1840.3753244546056</c:v>
                </c:pt>
                <c:pt idx="34" formatCode="_-* #,##0_-;\-* #,##0_-;_-* &quot;-&quot;??_-;_-@_-">
                  <c:v>1912.9481269500516</c:v>
                </c:pt>
                <c:pt idx="35" formatCode="_-* #,##0_-;\-* #,##0_-;_-* &quot;-&quot;??_-;_-@_-">
                  <c:v>1979.2183537361705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F5-450C-9D02-14D95722C02A}"/>
            </c:ext>
          </c:extLst>
        </c:ser>
        <c:ser>
          <c:idx val="2"/>
          <c:order val="2"/>
          <c:tx>
            <c:v>Predicciones</c:v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dLbls>
            <c:dLbl>
              <c:idx val="35"/>
              <c:layout>
                <c:manualLayout>
                  <c:x val="-0.10112795338338237"/>
                  <c:y val="-0.1394706010393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0F5-450C-9D02-14D95722C0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'Pronósticos 0104'!$H$3:$H$38</c:f>
              <c:numCache>
                <c:formatCode>General</c:formatCode>
                <c:ptCount val="36"/>
                <c:pt idx="28" formatCode="_-* #,##0_-;\-* #,##0_-;_-* &quot;-&quot;??_-;_-@_-">
                  <c:v>1378</c:v>
                </c:pt>
                <c:pt idx="29" formatCode="_-* #,##0_-;\-* #,##0_-;_-* &quot;-&quot;??_-;_-@_-">
                  <c:v>1514.5821511496956</c:v>
                </c:pt>
                <c:pt idx="30" formatCode="_-* #,##0_-;\-* #,##0_-;_-* &quot;-&quot;??_-;_-@_-">
                  <c:v>1663.9678074055792</c:v>
                </c:pt>
                <c:pt idx="31" formatCode="_-* #,##0_-;\-* #,##0_-;_-* &quot;-&quot;??_-;_-@_-">
                  <c:v>1813.3534636614627</c:v>
                </c:pt>
                <c:pt idx="32" formatCode="_-* #,##0_-;\-* #,##0_-;_-* &quot;-&quot;??_-;_-@_-">
                  <c:v>1962.7391199173462</c:v>
                </c:pt>
                <c:pt idx="33" formatCode="_-* #,##0_-;\-* #,##0_-;_-* &quot;-&quot;??_-;_-@_-">
                  <c:v>2112.1247761732297</c:v>
                </c:pt>
                <c:pt idx="34" formatCode="_-* #,##0_-;\-* #,##0_-;_-* &quot;-&quot;??_-;_-@_-">
                  <c:v>2261.5104324291133</c:v>
                </c:pt>
                <c:pt idx="35" formatCode="_-* #,##0_-;\-* #,##0_-;_-* &quot;-&quot;??_-;_-@_-">
                  <c:v>2410.8960886849973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F5-450C-9D02-14D95722C02A}"/>
            </c:ext>
          </c:extLst>
        </c:ser>
        <c:ser>
          <c:idx val="3"/>
          <c:order val="3"/>
          <c:tx>
            <c:v>Limite Superior</c:v>
          </c:tx>
          <c:spPr>
            <a:ln w="28575" cap="rnd">
              <a:solidFill>
                <a:srgbClr val="F8CB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35"/>
              <c:layout>
                <c:manualLayout>
                  <c:x val="-8.8681436043889283E-2"/>
                  <c:y val="-9.50472638177569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F5-450C-9D02-14D95722C0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'Pronósticos 0104'!$I$3:$I$38</c:f>
              <c:numCache>
                <c:formatCode>General</c:formatCode>
                <c:ptCount val="36"/>
                <c:pt idx="28" formatCode="_-* #,##0_-;\-* #,##0_-;_-* &quot;-&quot;??_-;_-@_-">
                  <c:v>1378</c:v>
                </c:pt>
                <c:pt idx="29" formatCode="_-* #,##0_-;\-* #,##0_-;_-* &quot;-&quot;??_-;_-@_-">
                  <c:v>1563.1436698709897</c:v>
                </c:pt>
                <c:pt idx="30" formatCode="_-* #,##0_-;\-* #,##0_-;_-* &quot;-&quot;??_-;_-@_-">
                  <c:v>1751.472928807729</c:v>
                </c:pt>
                <c:pt idx="31" formatCode="_-* #,##0_-;\-* #,##0_-;_-* &quot;-&quot;??_-;_-@_-">
                  <c:v>1953.2620982626199</c:v>
                </c:pt>
                <c:pt idx="32" formatCode="_-* #,##0_-;\-* #,##0_-;_-* &quot;-&quot;??_-;_-@_-">
                  <c:v>2164.6202462883075</c:v>
                </c:pt>
                <c:pt idx="33" formatCode="_-* #,##0_-;\-* #,##0_-;_-* &quot;-&quot;??_-;_-@_-">
                  <c:v>2383.8742278918539</c:v>
                </c:pt>
                <c:pt idx="34" formatCode="_-* #,##0_-;\-* #,##0_-;_-* &quot;-&quot;??_-;_-@_-">
                  <c:v>2610.072737908175</c:v>
                </c:pt>
                <c:pt idx="35" formatCode="_-* #,##0_-;\-* #,##0_-;_-* &quot;-&quot;??_-;_-@_-">
                  <c:v>2842.5738236338238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F5-450C-9D02-14D95722C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21200"/>
        <c:axId val="443623168"/>
      </c:lineChart>
      <c:dateAx>
        <c:axId val="44362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623168"/>
        <c:crosses val="autoZero"/>
        <c:auto val="1"/>
        <c:lblOffset val="100"/>
        <c:baseTimeUnit val="days"/>
        <c:majorUnit val="8"/>
        <c:majorTimeUnit val="days"/>
      </c:dateAx>
      <c:valAx>
        <c:axId val="443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6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Doubling</a:t>
            </a:r>
            <a:r>
              <a:rPr lang="es-MX" b="1" baseline="0"/>
              <a:t> Time por Semana</a:t>
            </a:r>
            <a:endParaRPr lang="es-MX" b="1"/>
          </a:p>
        </c:rich>
      </c:tx>
      <c:layout>
        <c:manualLayout>
          <c:xMode val="edge"/>
          <c:yMode val="edge"/>
          <c:x val="6.7707786526684001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47625" cap="rnd">
              <a:solidFill>
                <a:schemeClr val="tx2">
                  <a:alpha val="6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6262626262626411E-2"/>
                  <c:y val="-9.270617162138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A0-441A-9256-C748773F22E6}"/>
                </c:ext>
              </c:extLst>
            </c:dLbl>
            <c:dLbl>
              <c:idx val="1"/>
              <c:layout>
                <c:manualLayout>
                  <c:x val="-3.8383838383838312E-2"/>
                  <c:y val="-7.33923858669319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A0-441A-9256-C748773F22E6}"/>
                </c:ext>
              </c:extLst>
            </c:dLbl>
            <c:dLbl>
              <c:idx val="2"/>
              <c:layout>
                <c:manualLayout>
                  <c:x val="-7.4073218373934501E-17"/>
                  <c:y val="-5.7941357263367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A0-441A-9256-C748773F22E6}"/>
                </c:ext>
              </c:extLst>
            </c:dLbl>
            <c:dLbl>
              <c:idx val="3"/>
              <c:layout>
                <c:manualLayout>
                  <c:x val="-3.7036609186967251E-17"/>
                  <c:y val="-6.180411441425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A0-441A-9256-C748773F2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'Pronósticos 0104'!$W$3:$W$7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0104'!$AB$3:$AB$7</c:f>
              <c:numCache>
                <c:formatCode>_(* #,##0.00_);_(* \(#,##0.00\);_(* "-"??_);_(@_)</c:formatCode>
                <c:ptCount val="5"/>
                <c:pt idx="0">
                  <c:v>3.9624538816110433</c:v>
                </c:pt>
                <c:pt idx="1">
                  <c:v>2.3859371691749955</c:v>
                </c:pt>
                <c:pt idx="2">
                  <c:v>2.396796073257291</c:v>
                </c:pt>
                <c:pt idx="3">
                  <c:v>8.6702883809266673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A0-441A-9256-C748773F22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6039136"/>
        <c:axId val="686039464"/>
      </c:lineChart>
      <c:catAx>
        <c:axId val="686039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6039464"/>
        <c:crosses val="autoZero"/>
        <c:auto val="1"/>
        <c:lblAlgn val="ctr"/>
        <c:lblOffset val="100"/>
        <c:noMultiLvlLbl val="0"/>
      </c:catAx>
      <c:valAx>
        <c:axId val="686039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Días que tarda en doblarse el número de confirmados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603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Casos</a:t>
            </a:r>
            <a:r>
              <a:rPr lang="es-MX" b="1" baseline="0"/>
              <a:t> Confirmados de COVID-19 </a:t>
            </a:r>
          </a:p>
          <a:p>
            <a:pPr algn="l">
              <a:defRPr/>
            </a:pPr>
            <a:r>
              <a:rPr lang="es-MX" b="1" baseline="0"/>
              <a:t>en México por Semana</a:t>
            </a:r>
            <a:endParaRPr lang="es-MX" b="1"/>
          </a:p>
        </c:rich>
      </c:tx>
      <c:layout>
        <c:manualLayout>
          <c:xMode val="edge"/>
          <c:yMode val="edge"/>
          <c:x val="4.0763342082239581E-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Casos Acumulados</c:v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C00000">
                    <a:alpha val="45000"/>
                  </a:srgbClr>
                </a:solidFill>
                <a:prstDash val="dash"/>
              </a:ln>
              <a:effectLst/>
            </c:spPr>
            <c:trendlineType val="exp"/>
            <c:dispRSqr val="0"/>
            <c:dispEq val="0"/>
          </c:trendline>
          <c:cat>
            <c:strRef>
              <c:f>'Pronósticos 0104'!$W$3:$W$7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0104'!$Y$3:$Y$7</c:f>
              <c:numCache>
                <c:formatCode>_-* #,##0_-;\-* #,##0_-;_-* "-"??_-;_-@_-</c:formatCode>
                <c:ptCount val="5"/>
                <c:pt idx="0">
                  <c:v>1378</c:v>
                </c:pt>
                <c:pt idx="1">
                  <c:v>405</c:v>
                </c:pt>
                <c:pt idx="2">
                  <c:v>53</c:v>
                </c:pt>
                <c:pt idx="3">
                  <c:v>7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7-4630-8A07-4995FC984B4A}"/>
            </c:ext>
          </c:extLst>
        </c:ser>
        <c:ser>
          <c:idx val="1"/>
          <c:order val="1"/>
          <c:tx>
            <c:v>Nuevos Casos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'Pronósticos 0104'!$W$3:$W$7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0104'!$Z$3:$Z$7</c:f>
              <c:numCache>
                <c:formatCode>_-* #,##0_-;\-* #,##0_-;_-* "-"??_-;_-@_-</c:formatCode>
                <c:ptCount val="5"/>
                <c:pt idx="0">
                  <c:v>973</c:v>
                </c:pt>
                <c:pt idx="1">
                  <c:v>352</c:v>
                </c:pt>
                <c:pt idx="2">
                  <c:v>46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7-4630-8A07-4995FC984B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1"/>
        <c:overlap val="4"/>
        <c:axId val="698628184"/>
        <c:axId val="698629168"/>
      </c:barChart>
      <c:catAx>
        <c:axId val="698628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8629168"/>
        <c:crosses val="autoZero"/>
        <c:auto val="1"/>
        <c:lblAlgn val="ctr"/>
        <c:lblOffset val="100"/>
        <c:noMultiLvlLbl val="0"/>
      </c:catAx>
      <c:valAx>
        <c:axId val="698629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862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Incrementos Diarios</a:t>
            </a:r>
            <a:r>
              <a:rPr lang="es-MX" b="1" baseline="0"/>
              <a:t> de Casos Confirmados de COVID-19 en México</a:t>
            </a:r>
            <a:endParaRPr lang="es-MX" b="1"/>
          </a:p>
        </c:rich>
      </c:tx>
      <c:layout>
        <c:manualLayout>
          <c:xMode val="edge"/>
          <c:yMode val="edge"/>
          <c:x val="7.3433095681796007E-3"/>
          <c:y val="1.92481870329662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Nuevos Casos</c:v>
          </c:tx>
          <c:spPr>
            <a:solidFill>
              <a:srgbClr val="FF6565"/>
            </a:solidFill>
            <a:ln>
              <a:solidFill>
                <a:srgbClr val="F8CBC4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tx1">
                    <a:alpha val="60000"/>
                  </a:schemeClr>
                </a:solidFill>
                <a:prstDash val="sysDash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'Pronósticos 0104'!$B$3:$B$31</c:f>
              <c:numCache>
                <c:formatCode>m/d/yyyy</c:formatCode>
                <c:ptCount val="29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</c:numCache>
            </c:numRef>
          </c:cat>
          <c:val>
            <c:numRef>
              <c:f>'Pronósticos 0104'!$D$3:$D$31</c:f>
              <c:numCache>
                <c:formatCode>_-* #,##0_-;\-* #,##0_-;_-* "-"??_-;_-@_-</c:formatCode>
                <c:ptCount val="29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14</c:v>
                </c:pt>
                <c:pt idx="11">
                  <c:v>15</c:v>
                </c:pt>
                <c:pt idx="12">
                  <c:v>12</c:v>
                </c:pt>
                <c:pt idx="13">
                  <c:v>29</c:v>
                </c:pt>
                <c:pt idx="14">
                  <c:v>11</c:v>
                </c:pt>
                <c:pt idx="15">
                  <c:v>25</c:v>
                </c:pt>
                <c:pt idx="16">
                  <c:v>46</c:v>
                </c:pt>
                <c:pt idx="17">
                  <c:v>39</c:v>
                </c:pt>
                <c:pt idx="18">
                  <c:v>113</c:v>
                </c:pt>
                <c:pt idx="19">
                  <c:v>51</c:v>
                </c:pt>
                <c:pt idx="20">
                  <c:v>38</c:v>
                </c:pt>
                <c:pt idx="21">
                  <c:v>70</c:v>
                </c:pt>
                <c:pt idx="22">
                  <c:v>110</c:v>
                </c:pt>
                <c:pt idx="23">
                  <c:v>132</c:v>
                </c:pt>
                <c:pt idx="24">
                  <c:v>131</c:v>
                </c:pt>
                <c:pt idx="25">
                  <c:v>145</c:v>
                </c:pt>
                <c:pt idx="26">
                  <c:v>101</c:v>
                </c:pt>
                <c:pt idx="27">
                  <c:v>121</c:v>
                </c:pt>
                <c:pt idx="28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CF-4708-BD47-4E176D0D5B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2872256"/>
        <c:axId val="672871928"/>
      </c:barChart>
      <c:dateAx>
        <c:axId val="672872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2871928"/>
        <c:crosses val="autoZero"/>
        <c:auto val="1"/>
        <c:lblOffset val="100"/>
        <c:baseTimeUnit val="days"/>
        <c:majorUnit val="8"/>
        <c:majorTimeUnit val="days"/>
      </c:dateAx>
      <c:valAx>
        <c:axId val="67287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287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Doubling Times Diarios</a:t>
            </a:r>
          </a:p>
        </c:rich>
      </c:tx>
      <c:layout>
        <c:manualLayout>
          <c:xMode val="edge"/>
          <c:yMode val="edge"/>
          <c:x val="9.2449176768750942E-3"/>
          <c:y val="1.96873178535552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Doubling Times</c:v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0104'!$B$4:$B$38</c:f>
              <c:numCache>
                <c:formatCode>m/d/yyyy</c:formatCode>
                <c:ptCount val="35"/>
                <c:pt idx="0">
                  <c:v>43890</c:v>
                </c:pt>
                <c:pt idx="1">
                  <c:v>43891</c:v>
                </c:pt>
                <c:pt idx="2">
                  <c:v>43893</c:v>
                </c:pt>
                <c:pt idx="3">
                  <c:v>43896</c:v>
                </c:pt>
                <c:pt idx="4">
                  <c:v>43898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</c:numCache>
            </c:numRef>
          </c:cat>
          <c:val>
            <c:numRef>
              <c:f>'Pronósticos 0104'!$F$4:$F$38</c:f>
              <c:numCache>
                <c:formatCode>_-* #,##0.000_-;\-* #,##0.000_-;_-* "-"??_-;_-@_-</c:formatCode>
                <c:ptCount val="35"/>
                <c:pt idx="0">
                  <c:v>0.5</c:v>
                </c:pt>
                <c:pt idx="1">
                  <c:v>3.1062837195053898</c:v>
                </c:pt>
                <c:pt idx="2">
                  <c:v>3.1062837195053898</c:v>
                </c:pt>
                <c:pt idx="3">
                  <c:v>3.8017840169239308</c:v>
                </c:pt>
                <c:pt idx="4">
                  <c:v>4.4965561056019201</c:v>
                </c:pt>
                <c:pt idx="5">
                  <c:v>4.4965561056019201</c:v>
                </c:pt>
                <c:pt idx="6">
                  <c:v>5.1908930696844333</c:v>
                </c:pt>
                <c:pt idx="7">
                  <c:v>1.7095112913514547</c:v>
                </c:pt>
                <c:pt idx="8">
                  <c:v>1.7095112913514547</c:v>
                </c:pt>
                <c:pt idx="9">
                  <c:v>0.89647729633866391</c:v>
                </c:pt>
                <c:pt idx="10">
                  <c:v>1.5218099259128899</c:v>
                </c:pt>
                <c:pt idx="11">
                  <c:v>2.7000139999726995</c:v>
                </c:pt>
                <c:pt idx="12">
                  <c:v>1.5882304498763296</c:v>
                </c:pt>
                <c:pt idx="13">
                  <c:v>5.5064015458878339</c:v>
                </c:pt>
                <c:pt idx="14">
                  <c:v>2.9113417404063613</c:v>
                </c:pt>
                <c:pt idx="15">
                  <c:v>2.1056667576639794</c:v>
                </c:pt>
                <c:pt idx="16">
                  <c:v>3.2490327114872004</c:v>
                </c:pt>
                <c:pt idx="17">
                  <c:v>1.5663060478480795</c:v>
                </c:pt>
                <c:pt idx="18">
                  <c:v>4.6327287392870646</c:v>
                </c:pt>
                <c:pt idx="19">
                  <c:v>7.0352259779735453</c:v>
                </c:pt>
                <c:pt idx="20">
                  <c:v>4.3477201264704455</c:v>
                </c:pt>
                <c:pt idx="21">
                  <c:v>3.3276861251634502</c:v>
                </c:pt>
                <c:pt idx="22">
                  <c:v>3.40673142744757</c:v>
                </c:pt>
                <c:pt idx="23">
                  <c:v>4.1306756446720598</c:v>
                </c:pt>
                <c:pt idx="24">
                  <c:v>4.3911755241994292</c:v>
                </c:pt>
                <c:pt idx="25">
                  <c:v>7.1557827731153241</c:v>
                </c:pt>
                <c:pt idx="26">
                  <c:v>6.6074823154592899</c:v>
                </c:pt>
                <c:pt idx="27">
                  <c:v>5.5060144499480836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1-4C89-813C-205AC53D954A}"/>
            </c:ext>
          </c:extLst>
        </c:ser>
        <c:ser>
          <c:idx val="1"/>
          <c:order val="1"/>
          <c:tx>
            <c:v>Estimaciones</c:v>
          </c:tx>
          <c:spPr>
            <a:ln w="28575" cap="rnd">
              <a:solidFill>
                <a:srgbClr val="FFC000">
                  <a:alpha val="99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'Pronósticos 0104'!$B$4:$B$38</c:f>
              <c:numCache>
                <c:formatCode>m/d/yyyy</c:formatCode>
                <c:ptCount val="35"/>
                <c:pt idx="0">
                  <c:v>43890</c:v>
                </c:pt>
                <c:pt idx="1">
                  <c:v>43891</c:v>
                </c:pt>
                <c:pt idx="2">
                  <c:v>43893</c:v>
                </c:pt>
                <c:pt idx="3">
                  <c:v>43896</c:v>
                </c:pt>
                <c:pt idx="4">
                  <c:v>43898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</c:numCache>
            </c:numRef>
          </c:cat>
          <c:val>
            <c:numRef>
              <c:f>'Pronósticos 0104'!$J$4:$J$38</c:f>
              <c:numCache>
                <c:formatCode>General</c:formatCode>
                <c:ptCount val="35"/>
                <c:pt idx="27">
                  <c:v>5.5060144499480836</c:v>
                </c:pt>
                <c:pt idx="28">
                  <c:v>5.4982970318052526</c:v>
                </c:pt>
                <c:pt idx="29">
                  <c:v>6.0931655034778567</c:v>
                </c:pt>
                <c:pt idx="30">
                  <c:v>6.3565977435378143</c:v>
                </c:pt>
                <c:pt idx="31">
                  <c:v>6.7463457102204547</c:v>
                </c:pt>
                <c:pt idx="32">
                  <c:v>7.1842086108525809</c:v>
                </c:pt>
                <c:pt idx="33">
                  <c:v>7.6463185727211247</c:v>
                </c:pt>
                <c:pt idx="34">
                  <c:v>8.1229618349837214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E1-4C89-813C-205AC53D9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531096"/>
        <c:axId val="685533064"/>
      </c:lineChart>
      <c:dateAx>
        <c:axId val="685531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533064"/>
        <c:crosses val="autoZero"/>
        <c:auto val="1"/>
        <c:lblOffset val="100"/>
        <c:baseTimeUnit val="days"/>
      </c:dateAx>
      <c:valAx>
        <c:axId val="68553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53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Casos Acumulados de COVID-19 en México</a:t>
            </a:r>
            <a:endParaRPr lang="es-MX" sz="1100" b="0"/>
          </a:p>
          <a:p>
            <a:pPr algn="l">
              <a:defRPr/>
            </a:pPr>
            <a:r>
              <a:rPr lang="es-MX" sz="1100" b="0"/>
              <a:t>Última</a:t>
            </a:r>
            <a:r>
              <a:rPr lang="es-MX" sz="1100" b="0" baseline="0"/>
              <a:t> Actualización: 01/04/2020</a:t>
            </a:r>
          </a:p>
          <a:p>
            <a:pPr algn="l">
              <a:defRPr/>
            </a:pPr>
            <a:r>
              <a:rPr lang="es-MX" sz="1100" b="0" baseline="0"/>
              <a:t>Con predicciones (1 semana a futuro)</a:t>
            </a:r>
            <a:endParaRPr lang="es-MX" sz="1050" b="1"/>
          </a:p>
        </c:rich>
      </c:tx>
      <c:layout>
        <c:manualLayout>
          <c:xMode val="edge"/>
          <c:yMode val="edge"/>
          <c:x val="1.0770157661603191E-2"/>
          <c:y val="1.73160173160173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0204 (2)'!$C$2</c:f>
              <c:strCache>
                <c:ptCount val="1"/>
                <c:pt idx="0">
                  <c:v>Ct:
Casos Confirm.
Al tiempo 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'Pronósticos 0204 (2)'!$B$3:$B$39</c:f>
              <c:numCache>
                <c:formatCode>m/d/yyyy</c:formatCode>
                <c:ptCount val="37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</c:numCache>
            </c:numRef>
          </c:cat>
          <c:val>
            <c:numRef>
              <c:f>'Pronósticos 0204 (2)'!$C$3:$C$39</c:f>
              <c:numCache>
                <c:formatCode>_-* #,##0_-;\-* #,##0_-;_-* "-"??_-;_-@_-</c:formatCode>
                <c:ptCount val="37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  <c:pt idx="18">
                  <c:v>316</c:v>
                </c:pt>
                <c:pt idx="19">
                  <c:v>367</c:v>
                </c:pt>
                <c:pt idx="20">
                  <c:v>405</c:v>
                </c:pt>
                <c:pt idx="21">
                  <c:v>475</c:v>
                </c:pt>
                <c:pt idx="22">
                  <c:v>585</c:v>
                </c:pt>
                <c:pt idx="23">
                  <c:v>717</c:v>
                </c:pt>
                <c:pt idx="24">
                  <c:v>848</c:v>
                </c:pt>
                <c:pt idx="25">
                  <c:v>993</c:v>
                </c:pt>
                <c:pt idx="26">
                  <c:v>1094</c:v>
                </c:pt>
                <c:pt idx="27">
                  <c:v>1215</c:v>
                </c:pt>
                <c:pt idx="28">
                  <c:v>1378</c:v>
                </c:pt>
                <c:pt idx="29">
                  <c:v>1510</c:v>
                </c:pt>
                <c:pt idx="30">
                  <c:v>1688</c:v>
                </c:pt>
                <c:pt idx="31">
                  <c:v>1890</c:v>
                </c:pt>
                <c:pt idx="32">
                  <c:v>2143</c:v>
                </c:pt>
                <c:pt idx="33">
                  <c:v>2439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37-4058-A1BB-ED99D27140D9}"/>
            </c:ext>
          </c:extLst>
        </c:ser>
        <c:ser>
          <c:idx val="1"/>
          <c:order val="1"/>
          <c:spPr>
            <a:ln w="28575" cap="rnd">
              <a:solidFill>
                <a:srgbClr val="F8CB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36"/>
              <c:layout>
                <c:manualLayout>
                  <c:x val="-1.443093100753904E-3"/>
                  <c:y val="0.1354974034998872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37-4058-A1BB-ED99D27140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0204 (2)'!$B$3:$B$39</c:f>
              <c:numCache>
                <c:formatCode>m/d/yyyy</c:formatCode>
                <c:ptCount val="37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</c:numCache>
            </c:numRef>
          </c:cat>
          <c:val>
            <c:numRef>
              <c:f>'Pronósticos 0204 (2)'!$G$3:$G$39</c:f>
              <c:numCache>
                <c:formatCode>General</c:formatCode>
                <c:ptCount val="37"/>
                <c:pt idx="29" formatCode="_-* #,##0_-;\-* #,##0_-;_-* &quot;-&quot;??_-;_-@_-">
                  <c:v>1510</c:v>
                </c:pt>
                <c:pt idx="30" formatCode="_-* #,##0_-;\-* #,##0_-;_-* &quot;-&quot;??_-;_-@_-">
                  <c:v>1585.7045934943355</c:v>
                </c:pt>
                <c:pt idx="31" formatCode="_-* #,##0_-;\-* #,##0_-;_-* &quot;-&quot;??_-;_-@_-">
                  <c:v>1701.1024679601244</c:v>
                </c:pt>
                <c:pt idx="32" formatCode="_-* #,##0_-;\-* #,##0_-;_-* &quot;-&quot;??_-;_-@_-">
                  <c:v>1803.5166580510443</c:v>
                </c:pt>
                <c:pt idx="33" formatCode="_-* #,##0_-;\-* #,##0_-;_-* &quot;-&quot;??_-;_-@_-">
                  <c:v>1896.8276788335261</c:v>
                </c:pt>
                <c:pt idx="34" formatCode="_-* #,##0_-;\-* #,##0_-;_-* &quot;-&quot;??_-;_-@_-">
                  <c:v>1983.1809028156858</c:v>
                </c:pt>
                <c:pt idx="35" formatCode="_-* #,##0_-;\-* #,##0_-;_-* &quot;-&quot;??_-;_-@_-">
                  <c:v>2063.7293552611818</c:v>
                </c:pt>
                <c:pt idx="36" formatCode="_-* #,##0_-;\-* #,##0_-;_-* &quot;-&quot;??_-;_-@_-">
                  <c:v>2139.1714625224317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37-4058-A1BB-ED99D27140D9}"/>
            </c:ext>
          </c:extLst>
        </c:ser>
        <c:ser>
          <c:idx val="2"/>
          <c:order val="2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dLbls>
            <c:dLbl>
              <c:idx val="36"/>
              <c:layout>
                <c:manualLayout>
                  <c:x val="-8.6585586045223647E-3"/>
                  <c:y val="-0.1957184717220594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37-4058-A1BB-ED99D27140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0204 (2)'!$B$3:$B$39</c:f>
              <c:numCache>
                <c:formatCode>m/d/yyyy</c:formatCode>
                <c:ptCount val="37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</c:numCache>
            </c:numRef>
          </c:cat>
          <c:val>
            <c:numRef>
              <c:f>'Pronósticos 0204 (2)'!$H$3:$H$39</c:f>
              <c:numCache>
                <c:formatCode>General</c:formatCode>
                <c:ptCount val="37"/>
                <c:pt idx="29" formatCode="_-* #,##0_-;\-* #,##0_-;_-* &quot;-&quot;??_-;_-@_-">
                  <c:v>1510</c:v>
                </c:pt>
                <c:pt idx="30" formatCode="_-* #,##0_-;\-* #,##0_-;_-* &quot;-&quot;??_-;_-@_-">
                  <c:v>1641.5244936683318</c:v>
                </c:pt>
                <c:pt idx="31" formatCode="_-* #,##0_-;\-* #,##0_-;_-* &quot;-&quot;??_-;_-@_-">
                  <c:v>1780.0042670791572</c:v>
                </c:pt>
                <c:pt idx="32" formatCode="_-* #,##0_-;\-* #,##0_-;_-* &quot;-&quot;??_-;_-@_-">
                  <c:v>1918.4840404899828</c:v>
                </c:pt>
                <c:pt idx="33" formatCode="_-* #,##0_-;\-* #,##0_-;_-* &quot;-&quot;??_-;_-@_-">
                  <c:v>2056.9638139008084</c:v>
                </c:pt>
                <c:pt idx="34" formatCode="_-* #,##0_-;\-* #,##0_-;_-* &quot;-&quot;??_-;_-@_-">
                  <c:v>2195.443587311634</c:v>
                </c:pt>
                <c:pt idx="35" formatCode="_-* #,##0_-;\-* #,##0_-;_-* &quot;-&quot;??_-;_-@_-">
                  <c:v>2333.9233607224596</c:v>
                </c:pt>
                <c:pt idx="36" formatCode="_-* #,##0_-;\-* #,##0_-;_-* &quot;-&quot;??_-;_-@_-">
                  <c:v>2472.4031341332848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37-4058-A1BB-ED99D27140D9}"/>
            </c:ext>
          </c:extLst>
        </c:ser>
        <c:ser>
          <c:idx val="3"/>
          <c:order val="3"/>
          <c:spPr>
            <a:ln w="28575" cap="rnd">
              <a:solidFill>
                <a:srgbClr val="F8CB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29"/>
              <c:layout>
                <c:manualLayout>
                  <c:x val="-0.11689054116104908"/>
                  <c:y val="-6.32321216332807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37-4058-A1BB-ED99D27140D9}"/>
                </c:ext>
              </c:extLst>
            </c:dLbl>
            <c:dLbl>
              <c:idx val="36"/>
              <c:layout>
                <c:manualLayout>
                  <c:x val="-0.10967507565728073"/>
                  <c:y val="-5.72100148110634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37-4058-A1BB-ED99D27140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0204 (2)'!$B$3:$B$39</c:f>
              <c:numCache>
                <c:formatCode>m/d/yyyy</c:formatCode>
                <c:ptCount val="37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</c:numCache>
            </c:numRef>
          </c:cat>
          <c:val>
            <c:numRef>
              <c:f>'Pronósticos 0204 (2)'!$I$3:$I$39</c:f>
              <c:numCache>
                <c:formatCode>General</c:formatCode>
                <c:ptCount val="37"/>
                <c:pt idx="29" formatCode="_-* #,##0_-;\-* #,##0_-;_-* &quot;-&quot;??_-;_-@_-">
                  <c:v>1510</c:v>
                </c:pt>
                <c:pt idx="30" formatCode="_-* #,##0_-;\-* #,##0_-;_-* &quot;-&quot;??_-;_-@_-">
                  <c:v>1697.3443938423281</c:v>
                </c:pt>
                <c:pt idx="31" formatCode="_-* #,##0_-;\-* #,##0_-;_-* &quot;-&quot;??_-;_-@_-">
                  <c:v>1858.90606619819</c:v>
                </c:pt>
                <c:pt idx="32" formatCode="_-* #,##0_-;\-* #,##0_-;_-* &quot;-&quot;??_-;_-@_-">
                  <c:v>2033.4514229289214</c:v>
                </c:pt>
                <c:pt idx="33" formatCode="_-* #,##0_-;\-* #,##0_-;_-* &quot;-&quot;??_-;_-@_-">
                  <c:v>2217.0999489680908</c:v>
                </c:pt>
                <c:pt idx="34" formatCode="_-* #,##0_-;\-* #,##0_-;_-* &quot;-&quot;??_-;_-@_-">
                  <c:v>2407.7062718075822</c:v>
                </c:pt>
                <c:pt idx="35" formatCode="_-* #,##0_-;\-* #,##0_-;_-* &quot;-&quot;??_-;_-@_-">
                  <c:v>2604.1173661837374</c:v>
                </c:pt>
                <c:pt idx="36" formatCode="_-* #,##0_-;\-* #,##0_-;_-* &quot;-&quot;??_-;_-@_-">
                  <c:v>2805.6348057441378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37-4058-A1BB-ED99D2714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21200"/>
        <c:axId val="443623168"/>
      </c:lineChart>
      <c:dateAx>
        <c:axId val="44362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623168"/>
        <c:crosses val="autoZero"/>
        <c:auto val="1"/>
        <c:lblOffset val="100"/>
        <c:baseTimeUnit val="days"/>
        <c:majorUnit val="8"/>
        <c:majorTimeUnit val="days"/>
      </c:dateAx>
      <c:valAx>
        <c:axId val="443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6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Doubling</a:t>
            </a:r>
            <a:r>
              <a:rPr lang="es-MX" b="1" baseline="0"/>
              <a:t> Time por Semana</a:t>
            </a:r>
            <a:endParaRPr lang="es-MX" b="1"/>
          </a:p>
        </c:rich>
      </c:tx>
      <c:layout>
        <c:manualLayout>
          <c:xMode val="edge"/>
          <c:yMode val="edge"/>
          <c:x val="6.7707786526684001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47625" cap="rnd">
              <a:solidFill>
                <a:schemeClr val="tx2">
                  <a:alpha val="6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6262626262626411E-2"/>
                  <c:y val="-9.270617162138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FF-4415-A67C-B1570FD08A79}"/>
                </c:ext>
              </c:extLst>
            </c:dLbl>
            <c:dLbl>
              <c:idx val="1"/>
              <c:layout>
                <c:manualLayout>
                  <c:x val="-3.8383838383838312E-2"/>
                  <c:y val="-7.33923858669319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FF-4415-A67C-B1570FD08A79}"/>
                </c:ext>
              </c:extLst>
            </c:dLbl>
            <c:dLbl>
              <c:idx val="2"/>
              <c:layout>
                <c:manualLayout>
                  <c:x val="-7.4073218373934501E-17"/>
                  <c:y val="-5.7941357263367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FF-4415-A67C-B1570FD08A79}"/>
                </c:ext>
              </c:extLst>
            </c:dLbl>
            <c:dLbl>
              <c:idx val="3"/>
              <c:layout>
                <c:manualLayout>
                  <c:x val="-3.7036609186967251E-17"/>
                  <c:y val="-6.180411441425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FF-4415-A67C-B1570FD08A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'Pronósticos 0204 (2)'!$W$3:$W$7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0204 (2)'!$AB$3:$AB$7</c:f>
              <c:numCache>
                <c:formatCode>_(* #,##0.00_);_(* \(#,##0.00\);_(* "-"??_);_(@_)</c:formatCode>
                <c:ptCount val="5"/>
                <c:pt idx="0">
                  <c:v>4.1952615418818144</c:v>
                </c:pt>
                <c:pt idx="1">
                  <c:v>2.7621783769283699</c:v>
                </c:pt>
                <c:pt idx="2">
                  <c:v>1.9717215234010186</c:v>
                </c:pt>
                <c:pt idx="3">
                  <c:v>14.420299019743018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FF-4415-A67C-B1570FD08A7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6039136"/>
        <c:axId val="686039464"/>
      </c:lineChart>
      <c:catAx>
        <c:axId val="686039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6039464"/>
        <c:crosses val="autoZero"/>
        <c:auto val="1"/>
        <c:lblAlgn val="ctr"/>
        <c:lblOffset val="100"/>
        <c:noMultiLvlLbl val="0"/>
      </c:catAx>
      <c:valAx>
        <c:axId val="686039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Días que tarda en doblarse el número de confirmados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603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Casos</a:t>
            </a:r>
            <a:r>
              <a:rPr lang="es-MX" b="1" baseline="0"/>
              <a:t> Confirmados de COVID-19 </a:t>
            </a:r>
          </a:p>
          <a:p>
            <a:pPr algn="l">
              <a:defRPr/>
            </a:pPr>
            <a:r>
              <a:rPr lang="es-MX" b="1" baseline="0"/>
              <a:t>en México por Semana</a:t>
            </a:r>
            <a:endParaRPr lang="es-MX" b="1"/>
          </a:p>
        </c:rich>
      </c:tx>
      <c:layout>
        <c:manualLayout>
          <c:xMode val="edge"/>
          <c:yMode val="edge"/>
          <c:x val="4.0763342082239581E-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Casos Acumulados</c:v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C00000">
                    <a:alpha val="45000"/>
                  </a:srgbClr>
                </a:solidFill>
                <a:prstDash val="dash"/>
              </a:ln>
              <a:effectLst/>
            </c:spPr>
            <c:trendlineType val="exp"/>
            <c:dispRSqr val="0"/>
            <c:dispEq val="0"/>
          </c:trendline>
          <c:cat>
            <c:strRef>
              <c:f>'Pronósticos 0204 (2)'!$W$3:$W$7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0204 (2)'!$Y$3:$Y$7</c:f>
              <c:numCache>
                <c:formatCode>_-* #,##0_-;\-* #,##0_-;_-* "-"??_-;_-@_-</c:formatCode>
                <c:ptCount val="5"/>
                <c:pt idx="0">
                  <c:v>1510</c:v>
                </c:pt>
                <c:pt idx="1">
                  <c:v>475</c:v>
                </c:pt>
                <c:pt idx="2">
                  <c:v>82</c:v>
                </c:pt>
                <c:pt idx="3">
                  <c:v>7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97-42F3-9A8E-2A5F65EEE911}"/>
            </c:ext>
          </c:extLst>
        </c:ser>
        <c:ser>
          <c:idx val="1"/>
          <c:order val="1"/>
          <c:tx>
            <c:v>Nuevos Casos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'Pronósticos 0204 (2)'!$W$3:$W$7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0204 (2)'!$Z$3:$Z$7</c:f>
              <c:numCache>
                <c:formatCode>_-* #,##0_-;\-* #,##0_-;_-* "-"??_-;_-@_-</c:formatCode>
                <c:ptCount val="5"/>
                <c:pt idx="0">
                  <c:v>1035</c:v>
                </c:pt>
                <c:pt idx="1">
                  <c:v>393</c:v>
                </c:pt>
                <c:pt idx="2">
                  <c:v>75</c:v>
                </c:pt>
                <c:pt idx="3">
                  <c:v>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97-42F3-9A8E-2A5F65EEE9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1"/>
        <c:overlap val="4"/>
        <c:axId val="698628184"/>
        <c:axId val="698629168"/>
      </c:barChart>
      <c:catAx>
        <c:axId val="698628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8629168"/>
        <c:crosses val="autoZero"/>
        <c:auto val="1"/>
        <c:lblAlgn val="ctr"/>
        <c:lblOffset val="100"/>
        <c:noMultiLvlLbl val="0"/>
      </c:catAx>
      <c:valAx>
        <c:axId val="698629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862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Incrementos Diarios</a:t>
            </a:r>
            <a:r>
              <a:rPr lang="es-MX" b="1" baseline="0"/>
              <a:t> de Casos Confirmados de COVID-19 en México</a:t>
            </a:r>
            <a:endParaRPr lang="es-MX" b="1"/>
          </a:p>
        </c:rich>
      </c:tx>
      <c:layout>
        <c:manualLayout>
          <c:xMode val="edge"/>
          <c:yMode val="edge"/>
          <c:x val="7.3433095681796007E-3"/>
          <c:y val="1.92481870329662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6565"/>
            </a:solidFill>
            <a:ln>
              <a:solidFill>
                <a:srgbClr val="F8CBC4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tx1">
                    <a:alpha val="60000"/>
                  </a:schemeClr>
                </a:solidFill>
                <a:prstDash val="sysDash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'Pronósticos 0204 (2)'!$B$3:$B$32</c:f>
              <c:numCache>
                <c:formatCode>m/d/yyyy</c:formatCode>
                <c:ptCount val="3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</c:numCache>
            </c:numRef>
          </c:cat>
          <c:val>
            <c:numRef>
              <c:f>'Pronósticos 0204 (2)'!$D$3:$D$32</c:f>
              <c:numCache>
                <c:formatCode>_-* #,##0_-;\-* #,##0_-;_-* "-"??_-;_-@_-</c:formatCode>
                <c:ptCount val="30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14</c:v>
                </c:pt>
                <c:pt idx="11">
                  <c:v>15</c:v>
                </c:pt>
                <c:pt idx="12">
                  <c:v>12</c:v>
                </c:pt>
                <c:pt idx="13">
                  <c:v>29</c:v>
                </c:pt>
                <c:pt idx="14">
                  <c:v>11</c:v>
                </c:pt>
                <c:pt idx="15">
                  <c:v>25</c:v>
                </c:pt>
                <c:pt idx="16">
                  <c:v>46</c:v>
                </c:pt>
                <c:pt idx="17">
                  <c:v>39</c:v>
                </c:pt>
                <c:pt idx="18">
                  <c:v>113</c:v>
                </c:pt>
                <c:pt idx="19">
                  <c:v>51</c:v>
                </c:pt>
                <c:pt idx="20">
                  <c:v>38</c:v>
                </c:pt>
                <c:pt idx="21">
                  <c:v>70</c:v>
                </c:pt>
                <c:pt idx="22">
                  <c:v>110</c:v>
                </c:pt>
                <c:pt idx="23">
                  <c:v>132</c:v>
                </c:pt>
                <c:pt idx="24">
                  <c:v>131</c:v>
                </c:pt>
                <c:pt idx="25">
                  <c:v>145</c:v>
                </c:pt>
                <c:pt idx="26">
                  <c:v>101</c:v>
                </c:pt>
                <c:pt idx="27">
                  <c:v>121</c:v>
                </c:pt>
                <c:pt idx="28">
                  <c:v>163</c:v>
                </c:pt>
                <c:pt idx="29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33-47CF-B20F-2A48B89561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2872256"/>
        <c:axId val="672871928"/>
      </c:barChart>
      <c:dateAx>
        <c:axId val="672872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2871928"/>
        <c:crosses val="autoZero"/>
        <c:auto val="1"/>
        <c:lblOffset val="100"/>
        <c:baseTimeUnit val="days"/>
        <c:majorUnit val="8"/>
        <c:majorTimeUnit val="days"/>
      </c:dateAx>
      <c:valAx>
        <c:axId val="67287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287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Doubling Times Diarios</a:t>
            </a:r>
          </a:p>
        </c:rich>
      </c:tx>
      <c:layout>
        <c:manualLayout>
          <c:xMode val="edge"/>
          <c:yMode val="edge"/>
          <c:x val="9.2449176768750942E-3"/>
          <c:y val="1.96873178535552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0204 (2)'!$B$4:$B$39</c:f>
              <c:numCache>
                <c:formatCode>m/d/yyyy</c:formatCode>
                <c:ptCount val="36"/>
                <c:pt idx="0">
                  <c:v>43890</c:v>
                </c:pt>
                <c:pt idx="1">
                  <c:v>43891</c:v>
                </c:pt>
                <c:pt idx="2">
                  <c:v>43893</c:v>
                </c:pt>
                <c:pt idx="3">
                  <c:v>43896</c:v>
                </c:pt>
                <c:pt idx="4">
                  <c:v>43898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</c:numCache>
            </c:numRef>
          </c:cat>
          <c:val>
            <c:numRef>
              <c:f>'Pronósticos 0204 (2)'!$F$4:$F$39</c:f>
              <c:numCache>
                <c:formatCode>_-* #,##0.000_-;\-* #,##0.000_-;_-* "-"??_-;_-@_-</c:formatCode>
                <c:ptCount val="36"/>
                <c:pt idx="0">
                  <c:v>0.5</c:v>
                </c:pt>
                <c:pt idx="1">
                  <c:v>3.1062837195053898</c:v>
                </c:pt>
                <c:pt idx="2">
                  <c:v>3.1062837195053898</c:v>
                </c:pt>
                <c:pt idx="3">
                  <c:v>3.8017840169239308</c:v>
                </c:pt>
                <c:pt idx="4">
                  <c:v>4.4965561056019201</c:v>
                </c:pt>
                <c:pt idx="5">
                  <c:v>4.4965561056019201</c:v>
                </c:pt>
                <c:pt idx="6">
                  <c:v>5.1908930696844333</c:v>
                </c:pt>
                <c:pt idx="7">
                  <c:v>1.7095112913514547</c:v>
                </c:pt>
                <c:pt idx="8">
                  <c:v>1.7095112913514547</c:v>
                </c:pt>
                <c:pt idx="9">
                  <c:v>0.89647729633866391</c:v>
                </c:pt>
                <c:pt idx="10">
                  <c:v>1.5218099259128899</c:v>
                </c:pt>
                <c:pt idx="11">
                  <c:v>2.7000139999726995</c:v>
                </c:pt>
                <c:pt idx="12">
                  <c:v>1.5882304498763296</c:v>
                </c:pt>
                <c:pt idx="13">
                  <c:v>5.5064015458878339</c:v>
                </c:pt>
                <c:pt idx="14">
                  <c:v>2.9113417404063613</c:v>
                </c:pt>
                <c:pt idx="15">
                  <c:v>2.1056667576639794</c:v>
                </c:pt>
                <c:pt idx="16">
                  <c:v>3.2490327114872004</c:v>
                </c:pt>
                <c:pt idx="17">
                  <c:v>1.5663060478480795</c:v>
                </c:pt>
                <c:pt idx="18">
                  <c:v>4.6327287392870646</c:v>
                </c:pt>
                <c:pt idx="19">
                  <c:v>7.0352259779735453</c:v>
                </c:pt>
                <c:pt idx="20">
                  <c:v>4.3477201264704455</c:v>
                </c:pt>
                <c:pt idx="21">
                  <c:v>3.3276861251634502</c:v>
                </c:pt>
                <c:pt idx="22">
                  <c:v>3.40673142744757</c:v>
                </c:pt>
                <c:pt idx="23">
                  <c:v>4.1306756446720598</c:v>
                </c:pt>
                <c:pt idx="24">
                  <c:v>4.3911755241994292</c:v>
                </c:pt>
                <c:pt idx="25">
                  <c:v>7.1557827731153241</c:v>
                </c:pt>
                <c:pt idx="26">
                  <c:v>6.6074823154592899</c:v>
                </c:pt>
                <c:pt idx="27">
                  <c:v>5.5060144499480836</c:v>
                </c:pt>
                <c:pt idx="28">
                  <c:v>7.5773269143188875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E4-418B-BB1B-80CE8F21A5E1}"/>
            </c:ext>
          </c:extLst>
        </c:ser>
        <c:ser>
          <c:idx val="1"/>
          <c:order val="1"/>
          <c:spPr>
            <a:ln w="28575" cap="rnd">
              <a:solidFill>
                <a:srgbClr val="FFC000">
                  <a:alpha val="99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'Pronósticos 0204 (2)'!$B$4:$B$39</c:f>
              <c:numCache>
                <c:formatCode>m/d/yyyy</c:formatCode>
                <c:ptCount val="36"/>
                <c:pt idx="0">
                  <c:v>43890</c:v>
                </c:pt>
                <c:pt idx="1">
                  <c:v>43891</c:v>
                </c:pt>
                <c:pt idx="2">
                  <c:v>43893</c:v>
                </c:pt>
                <c:pt idx="3">
                  <c:v>43896</c:v>
                </c:pt>
                <c:pt idx="4">
                  <c:v>43898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</c:numCache>
            </c:numRef>
          </c:cat>
          <c:val>
            <c:numRef>
              <c:f>'Pronósticos 0204 (2)'!$J$4:$J$39</c:f>
              <c:numCache>
                <c:formatCode>General</c:formatCode>
                <c:ptCount val="36"/>
                <c:pt idx="28">
                  <c:v>7.5773269143188875</c:v>
                </c:pt>
                <c:pt idx="29">
                  <c:v>5.9266012908454639</c:v>
                </c:pt>
                <c:pt idx="30">
                  <c:v>7.6234299729481929</c:v>
                </c:pt>
                <c:pt idx="31">
                  <c:v>7.7233999301068064</c:v>
                </c:pt>
                <c:pt idx="32">
                  <c:v>8.0164636983949578</c:v>
                </c:pt>
                <c:pt idx="33">
                  <c:v>8.4043789467604082</c:v>
                </c:pt>
                <c:pt idx="34">
                  <c:v>8.8389921687924602</c:v>
                </c:pt>
                <c:pt idx="35">
                  <c:v>9.2994914486351554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E4-418B-BB1B-80CE8F21A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531096"/>
        <c:axId val="685533064"/>
      </c:lineChart>
      <c:dateAx>
        <c:axId val="685531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533064"/>
        <c:crosses val="autoZero"/>
        <c:auto val="1"/>
        <c:lblOffset val="100"/>
        <c:baseTimeUnit val="days"/>
      </c:dateAx>
      <c:valAx>
        <c:axId val="68553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53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Casos Acumulados de COVID-19 en México</a:t>
            </a:r>
            <a:endParaRPr lang="es-MX" sz="1100" b="0"/>
          </a:p>
          <a:p>
            <a:pPr algn="l">
              <a:defRPr/>
            </a:pPr>
            <a:r>
              <a:rPr lang="es-MX" sz="1100" b="0"/>
              <a:t>Última</a:t>
            </a:r>
            <a:r>
              <a:rPr lang="es-MX" sz="1100" b="0" baseline="0"/>
              <a:t> Actualización: 01/04/2020</a:t>
            </a:r>
          </a:p>
          <a:p>
            <a:pPr algn="l">
              <a:defRPr/>
            </a:pPr>
            <a:r>
              <a:rPr lang="es-MX" sz="1100" b="0" baseline="0"/>
              <a:t>Con predicciones (1 semana a futuro)</a:t>
            </a:r>
            <a:endParaRPr lang="es-MX" sz="1050" b="1"/>
          </a:p>
        </c:rich>
      </c:tx>
      <c:layout>
        <c:manualLayout>
          <c:xMode val="edge"/>
          <c:yMode val="edge"/>
          <c:x val="1.0770157661603191E-2"/>
          <c:y val="1.73160173160173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0304 (3)'!$C$2</c:f>
              <c:strCache>
                <c:ptCount val="1"/>
                <c:pt idx="0">
                  <c:v>Ct:
Casos Confirm.
Al tiempo 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'Pronósticos 0304 (3)'!$B$3:$B$40</c:f>
              <c:numCache>
                <c:formatCode>m/d/yyyy</c:formatCode>
                <c:ptCount val="3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</c:numCache>
            </c:numRef>
          </c:cat>
          <c:val>
            <c:numRef>
              <c:f>'Pronósticos 0304 (3)'!$C$3:$C$40</c:f>
              <c:numCache>
                <c:formatCode>_-* #,##0_-;\-* #,##0_-;_-* "-"??_-;_-@_-</c:formatCode>
                <c:ptCount val="38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  <c:pt idx="18">
                  <c:v>316</c:v>
                </c:pt>
                <c:pt idx="19">
                  <c:v>367</c:v>
                </c:pt>
                <c:pt idx="20">
                  <c:v>405</c:v>
                </c:pt>
                <c:pt idx="21">
                  <c:v>475</c:v>
                </c:pt>
                <c:pt idx="22">
                  <c:v>585</c:v>
                </c:pt>
                <c:pt idx="23">
                  <c:v>717</c:v>
                </c:pt>
                <c:pt idx="24">
                  <c:v>848</c:v>
                </c:pt>
                <c:pt idx="25">
                  <c:v>993</c:v>
                </c:pt>
                <c:pt idx="26">
                  <c:v>1094</c:v>
                </c:pt>
                <c:pt idx="27">
                  <c:v>1215</c:v>
                </c:pt>
                <c:pt idx="28">
                  <c:v>1378</c:v>
                </c:pt>
                <c:pt idx="29">
                  <c:v>1510</c:v>
                </c:pt>
                <c:pt idx="30">
                  <c:v>1688</c:v>
                </c:pt>
                <c:pt idx="31">
                  <c:v>1890</c:v>
                </c:pt>
                <c:pt idx="32">
                  <c:v>2143</c:v>
                </c:pt>
                <c:pt idx="33">
                  <c:v>2439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29-48A3-BE88-94ECA5C9730C}"/>
            </c:ext>
          </c:extLst>
        </c:ser>
        <c:ser>
          <c:idx val="1"/>
          <c:order val="1"/>
          <c:spPr>
            <a:ln w="28575" cap="rnd">
              <a:solidFill>
                <a:srgbClr val="F8CB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37"/>
              <c:layout>
                <c:manualLayout>
                  <c:x val="-1.0297662382346721E-2"/>
                  <c:y val="9.79053897824759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29-48A3-BE88-94ECA5C97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0304 (3)'!$B$3:$B$40</c:f>
              <c:numCache>
                <c:formatCode>m/d/yyyy</c:formatCode>
                <c:ptCount val="3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</c:numCache>
            </c:numRef>
          </c:cat>
          <c:val>
            <c:numRef>
              <c:f>'Pronósticos 0304 (3)'!$G$3:$G$40</c:f>
              <c:numCache>
                <c:formatCode>General</c:formatCode>
                <c:ptCount val="38"/>
                <c:pt idx="30" formatCode="_-* #,##0_-;\-* #,##0_-;_-* &quot;-&quot;??_-;_-@_-">
                  <c:v>1688</c:v>
                </c:pt>
                <c:pt idx="31" formatCode="_-* #,##0_-;\-* #,##0_-;_-* &quot;-&quot;??_-;_-@_-">
                  <c:v>1747.8335685499517</c:v>
                </c:pt>
                <c:pt idx="32" formatCode="_-* #,##0_-;\-* #,##0_-;_-* &quot;-&quot;??_-;_-@_-">
                  <c:v>1891.41909668365</c:v>
                </c:pt>
                <c:pt idx="33" formatCode="_-* #,##0_-;\-* #,##0_-;_-* &quot;-&quot;??_-;_-@_-">
                  <c:v>2027.0527608198151</c:v>
                </c:pt>
                <c:pt idx="34" formatCode="_-* #,##0_-;\-* #,##0_-;_-* &quot;-&quot;??_-;_-@_-">
                  <c:v>2155.2849013829227</c:v>
                </c:pt>
                <c:pt idx="35" formatCode="_-* #,##0_-;\-* #,##0_-;_-* &quot;-&quot;??_-;_-@_-">
                  <c:v>2277.4580500109223</c:v>
                </c:pt>
                <c:pt idx="36" formatCode="_-* #,##0_-;\-* #,##0_-;_-* &quot;-&quot;??_-;_-@_-">
                  <c:v>2394.7396657624313</c:v>
                </c:pt>
                <c:pt idx="37" formatCode="_-* #,##0_-;\-* #,##0_-;_-* &quot;-&quot;??_-;_-@_-">
                  <c:v>2507.9499961931806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29-48A3-BE88-94ECA5C9730C}"/>
            </c:ext>
          </c:extLst>
        </c:ser>
        <c:ser>
          <c:idx val="2"/>
          <c:order val="2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dLbls>
            <c:dLbl>
              <c:idx val="37"/>
              <c:layout>
                <c:manualLayout>
                  <c:x val="-3.0821968785782602E-3"/>
                  <c:y val="-0.1731548398954177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029-48A3-BE88-94ECA5C97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0304 (3)'!$B$3:$B$40</c:f>
              <c:numCache>
                <c:formatCode>m/d/yyyy</c:formatCode>
                <c:ptCount val="3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</c:numCache>
            </c:numRef>
          </c:cat>
          <c:val>
            <c:numRef>
              <c:f>'Pronósticos 0304 (3)'!$H$3:$H$40</c:f>
              <c:numCache>
                <c:formatCode>General</c:formatCode>
                <c:ptCount val="38"/>
                <c:pt idx="30" formatCode="_-* #,##0_-;\-* #,##0_-;_-* &quot;-&quot;??_-;_-@_-">
                  <c:v>1688</c:v>
                </c:pt>
                <c:pt idx="31" formatCode="_-* #,##0_-;\-* #,##0_-;_-* &quot;-&quot;??_-;_-@_-">
                  <c:v>1820.3656226621572</c:v>
                </c:pt>
                <c:pt idx="32" formatCode="_-* #,##0_-;\-* #,##0_-;_-* &quot;-&quot;??_-;_-@_-">
                  <c:v>1972.4799870944703</c:v>
                </c:pt>
                <c:pt idx="33" formatCode="_-* #,##0_-;\-* #,##0_-;_-* &quot;-&quot;??_-;_-@_-">
                  <c:v>2124.5943515267836</c:v>
                </c:pt>
                <c:pt idx="34" formatCode="_-* #,##0_-;\-* #,##0_-;_-* &quot;-&quot;??_-;_-@_-">
                  <c:v>2276.7087159590969</c:v>
                </c:pt>
                <c:pt idx="35" formatCode="_-* #,##0_-;\-* #,##0_-;_-* &quot;-&quot;??_-;_-@_-">
                  <c:v>2428.8230803914103</c:v>
                </c:pt>
                <c:pt idx="36" formatCode="_-* #,##0_-;\-* #,##0_-;_-* &quot;-&quot;??_-;_-@_-">
                  <c:v>2580.9374448237231</c:v>
                </c:pt>
                <c:pt idx="37" formatCode="_-* #,##0_-;\-* #,##0_-;_-* &quot;-&quot;??_-;_-@_-">
                  <c:v>2733.0518092560364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29-48A3-BE88-94ECA5C9730C}"/>
            </c:ext>
          </c:extLst>
        </c:ser>
        <c:ser>
          <c:idx val="3"/>
          <c:order val="3"/>
          <c:spPr>
            <a:ln w="28575" cap="rnd">
              <a:solidFill>
                <a:srgbClr val="F8CB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30"/>
              <c:layout>
                <c:manualLayout>
                  <c:x val="-8.0466871298025988E-2"/>
                  <c:y val="-8.58132103325409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29-48A3-BE88-94ECA5C9730C}"/>
                </c:ext>
              </c:extLst>
            </c:dLbl>
            <c:dLbl>
              <c:idx val="37"/>
              <c:layout>
                <c:manualLayout>
                  <c:x val="-5.0704269203450107E-2"/>
                  <c:y val="-6.17189676945058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29-48A3-BE88-94ECA5C97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0304 (3)'!$B$3:$B$40</c:f>
              <c:numCache>
                <c:formatCode>m/d/yyyy</c:formatCode>
                <c:ptCount val="3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</c:numCache>
            </c:numRef>
          </c:cat>
          <c:val>
            <c:numRef>
              <c:f>'Pronósticos 0304 (3)'!$I$3:$I$40</c:f>
              <c:numCache>
                <c:formatCode>General</c:formatCode>
                <c:ptCount val="38"/>
                <c:pt idx="30" formatCode="_-* #,##0_-;\-* #,##0_-;_-* &quot;-&quot;??_-;_-@_-">
                  <c:v>1688</c:v>
                </c:pt>
                <c:pt idx="31" formatCode="_-* #,##0_-;\-* #,##0_-;_-* &quot;-&quot;??_-;_-@_-">
                  <c:v>1892.8976767743627</c:v>
                </c:pt>
                <c:pt idx="32" formatCode="_-* #,##0_-;\-* #,##0_-;_-* &quot;-&quot;??_-;_-@_-">
                  <c:v>2053.5408775052906</c:v>
                </c:pt>
                <c:pt idx="33" formatCode="_-* #,##0_-;\-* #,##0_-;_-* &quot;-&quot;??_-;_-@_-">
                  <c:v>2222.1359422337518</c:v>
                </c:pt>
                <c:pt idx="34" formatCode="_-* #,##0_-;\-* #,##0_-;_-* &quot;-&quot;??_-;_-@_-">
                  <c:v>2398.1325305352711</c:v>
                </c:pt>
                <c:pt idx="35" formatCode="_-* #,##0_-;\-* #,##0_-;_-* &quot;-&quot;??_-;_-@_-">
                  <c:v>2580.1881107718982</c:v>
                </c:pt>
                <c:pt idx="36" formatCode="_-* #,##0_-;\-* #,##0_-;_-* &quot;-&quot;??_-;_-@_-">
                  <c:v>2767.135223885015</c:v>
                </c:pt>
                <c:pt idx="37" formatCode="_-* #,##0_-;\-* #,##0_-;_-* &quot;-&quot;??_-;_-@_-">
                  <c:v>2958.1536223188923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029-48A3-BE88-94ECA5C97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21200"/>
        <c:axId val="443623168"/>
      </c:lineChart>
      <c:dateAx>
        <c:axId val="44362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623168"/>
        <c:crosses val="autoZero"/>
        <c:auto val="1"/>
        <c:lblOffset val="100"/>
        <c:baseTimeUnit val="days"/>
        <c:majorUnit val="8"/>
        <c:majorTimeUnit val="days"/>
      </c:dateAx>
      <c:valAx>
        <c:axId val="443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6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Doubling</a:t>
            </a:r>
            <a:r>
              <a:rPr lang="es-MX" b="1" baseline="0"/>
              <a:t> Time por Semana</a:t>
            </a:r>
            <a:endParaRPr lang="es-MX" b="1"/>
          </a:p>
        </c:rich>
      </c:tx>
      <c:layout>
        <c:manualLayout>
          <c:xMode val="edge"/>
          <c:yMode val="edge"/>
          <c:x val="6.7707786526684001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47625" cap="rnd">
              <a:solidFill>
                <a:schemeClr val="tx2">
                  <a:alpha val="6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6262626262626411E-2"/>
                  <c:y val="-9.270617162138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50-45E2-9E6C-EF335B7F1123}"/>
                </c:ext>
              </c:extLst>
            </c:dLbl>
            <c:dLbl>
              <c:idx val="1"/>
              <c:layout>
                <c:manualLayout>
                  <c:x val="-3.8383838383838312E-2"/>
                  <c:y val="-7.33923858669319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50-45E2-9E6C-EF335B7F1123}"/>
                </c:ext>
              </c:extLst>
            </c:dLbl>
            <c:dLbl>
              <c:idx val="2"/>
              <c:layout>
                <c:manualLayout>
                  <c:x val="-7.4073218373934501E-17"/>
                  <c:y val="-5.7941357263367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50-45E2-9E6C-EF335B7F1123}"/>
                </c:ext>
              </c:extLst>
            </c:dLbl>
            <c:dLbl>
              <c:idx val="3"/>
              <c:layout>
                <c:manualLayout>
                  <c:x val="-3.7036609186967251E-17"/>
                  <c:y val="-6.180411441425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50-45E2-9E6C-EF335B7F11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'Pronósticos 0304 (3)'!$W$3:$W$7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0304 (3)'!$AB$3:$AB$7</c:f>
              <c:numCache>
                <c:formatCode>_(* #,##0.00_);_(* \(#,##0.00\);_(* "-"??_);_(@_)</c:formatCode>
                <c:ptCount val="5"/>
                <c:pt idx="0">
                  <c:v>4.578735488002029</c:v>
                </c:pt>
                <c:pt idx="1">
                  <c:v>2.6383891620731541</c:v>
                </c:pt>
                <c:pt idx="2">
                  <c:v>1.8757684508928412</c:v>
                </c:pt>
                <c:pt idx="3">
                  <c:v>14.420299019743018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50-45E2-9E6C-EF335B7F11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6039136"/>
        <c:axId val="686039464"/>
      </c:lineChart>
      <c:catAx>
        <c:axId val="686039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6039464"/>
        <c:crosses val="autoZero"/>
        <c:auto val="1"/>
        <c:lblAlgn val="ctr"/>
        <c:lblOffset val="100"/>
        <c:noMultiLvlLbl val="0"/>
      </c:catAx>
      <c:valAx>
        <c:axId val="686039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Días que tarda en doblarse el número de confirmados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603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Casos</a:t>
            </a:r>
            <a:r>
              <a:rPr lang="es-MX" b="1" baseline="0"/>
              <a:t> Confirmados de COVID-19 </a:t>
            </a:r>
          </a:p>
          <a:p>
            <a:pPr algn="l">
              <a:defRPr/>
            </a:pPr>
            <a:r>
              <a:rPr lang="es-MX" b="1" baseline="0"/>
              <a:t>en México por Semana</a:t>
            </a:r>
            <a:endParaRPr lang="es-MX" b="1"/>
          </a:p>
        </c:rich>
      </c:tx>
      <c:layout>
        <c:manualLayout>
          <c:xMode val="edge"/>
          <c:yMode val="edge"/>
          <c:x val="4.0763342082239581E-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Casos Acumulados</c:v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C00000">
                    <a:alpha val="45000"/>
                  </a:srgbClr>
                </a:solidFill>
                <a:prstDash val="dash"/>
              </a:ln>
              <a:effectLst/>
            </c:spPr>
            <c:trendlineType val="exp"/>
            <c:dispRSqr val="0"/>
            <c:dispEq val="0"/>
          </c:trendline>
          <c:cat>
            <c:strRef>
              <c:f>'Pronósticos 0304 (3)'!$W$3:$W$7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0304 (3)'!$Y$3:$Y$7</c:f>
              <c:numCache>
                <c:formatCode>_-* #,##0_-;\-* #,##0_-;_-* "-"??_-;_-@_-</c:formatCode>
                <c:ptCount val="5"/>
                <c:pt idx="0">
                  <c:v>1688</c:v>
                </c:pt>
                <c:pt idx="1">
                  <c:v>585</c:v>
                </c:pt>
                <c:pt idx="2">
                  <c:v>93</c:v>
                </c:pt>
                <c:pt idx="3">
                  <c:v>7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29-49F3-9D54-31BA92E9033D}"/>
            </c:ext>
          </c:extLst>
        </c:ser>
        <c:ser>
          <c:idx val="1"/>
          <c:order val="1"/>
          <c:tx>
            <c:v>Nuevos Casos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'Pronósticos 0304 (3)'!$W$3:$W$7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0304 (3)'!$Z$3:$Z$7</c:f>
              <c:numCache>
                <c:formatCode>_-* #,##0_-;\-* #,##0_-;_-* "-"??_-;_-@_-</c:formatCode>
                <c:ptCount val="5"/>
                <c:pt idx="0">
                  <c:v>1103</c:v>
                </c:pt>
                <c:pt idx="1">
                  <c:v>492</c:v>
                </c:pt>
                <c:pt idx="2">
                  <c:v>86</c:v>
                </c:pt>
                <c:pt idx="3">
                  <c:v>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29-49F3-9D54-31BA92E903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1"/>
        <c:overlap val="4"/>
        <c:axId val="698628184"/>
        <c:axId val="698629168"/>
      </c:barChart>
      <c:catAx>
        <c:axId val="698628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8629168"/>
        <c:crosses val="autoZero"/>
        <c:auto val="1"/>
        <c:lblAlgn val="ctr"/>
        <c:lblOffset val="100"/>
        <c:noMultiLvlLbl val="0"/>
      </c:catAx>
      <c:valAx>
        <c:axId val="698629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862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Incrementos Diarios</a:t>
            </a:r>
            <a:r>
              <a:rPr lang="es-MX" b="1" baseline="0"/>
              <a:t> de Casos Confirmados de COVID-19 en México</a:t>
            </a:r>
            <a:endParaRPr lang="es-MX" b="1"/>
          </a:p>
        </c:rich>
      </c:tx>
      <c:layout>
        <c:manualLayout>
          <c:xMode val="edge"/>
          <c:yMode val="edge"/>
          <c:x val="7.3433095681796007E-3"/>
          <c:y val="1.92481870329662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6565"/>
            </a:solidFill>
            <a:ln>
              <a:solidFill>
                <a:srgbClr val="F8CBC4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tx1">
                    <a:alpha val="60000"/>
                  </a:schemeClr>
                </a:solidFill>
                <a:prstDash val="sysDash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'Pronósticos 0304 (3)'!$B$3:$B$33</c:f>
              <c:numCache>
                <c:formatCode>m/d/yyyy</c:formatCode>
                <c:ptCount val="3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</c:numCache>
            </c:numRef>
          </c:cat>
          <c:val>
            <c:numRef>
              <c:f>'Pronósticos 0304 (3)'!$D$3:$D$33</c:f>
              <c:numCache>
                <c:formatCode>_-* #,##0_-;\-* #,##0_-;_-* "-"??_-;_-@_-</c:formatCode>
                <c:ptCount val="31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14</c:v>
                </c:pt>
                <c:pt idx="11">
                  <c:v>15</c:v>
                </c:pt>
                <c:pt idx="12">
                  <c:v>12</c:v>
                </c:pt>
                <c:pt idx="13">
                  <c:v>29</c:v>
                </c:pt>
                <c:pt idx="14">
                  <c:v>11</c:v>
                </c:pt>
                <c:pt idx="15">
                  <c:v>25</c:v>
                </c:pt>
                <c:pt idx="16">
                  <c:v>46</c:v>
                </c:pt>
                <c:pt idx="17">
                  <c:v>39</c:v>
                </c:pt>
                <c:pt idx="18">
                  <c:v>113</c:v>
                </c:pt>
                <c:pt idx="19">
                  <c:v>51</c:v>
                </c:pt>
                <c:pt idx="20">
                  <c:v>38</c:v>
                </c:pt>
                <c:pt idx="21">
                  <c:v>70</c:v>
                </c:pt>
                <c:pt idx="22">
                  <c:v>110</c:v>
                </c:pt>
                <c:pt idx="23">
                  <c:v>132</c:v>
                </c:pt>
                <c:pt idx="24">
                  <c:v>131</c:v>
                </c:pt>
                <c:pt idx="25">
                  <c:v>145</c:v>
                </c:pt>
                <c:pt idx="26">
                  <c:v>101</c:v>
                </c:pt>
                <c:pt idx="27">
                  <c:v>121</c:v>
                </c:pt>
                <c:pt idx="28">
                  <c:v>163</c:v>
                </c:pt>
                <c:pt idx="29">
                  <c:v>132</c:v>
                </c:pt>
                <c:pt idx="30">
                  <c:v>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E-42E5-8B3D-6585165E589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2872256"/>
        <c:axId val="672871928"/>
      </c:barChart>
      <c:dateAx>
        <c:axId val="672872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2871928"/>
        <c:crosses val="autoZero"/>
        <c:auto val="1"/>
        <c:lblOffset val="100"/>
        <c:baseTimeUnit val="days"/>
        <c:majorUnit val="8"/>
        <c:majorTimeUnit val="days"/>
      </c:dateAx>
      <c:valAx>
        <c:axId val="67287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287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Doubling Times Diarios</a:t>
            </a:r>
          </a:p>
        </c:rich>
      </c:tx>
      <c:layout>
        <c:manualLayout>
          <c:xMode val="edge"/>
          <c:yMode val="edge"/>
          <c:x val="9.2449176768750942E-3"/>
          <c:y val="1.96873178535552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0304 (3)'!$B$4:$B$40</c:f>
              <c:numCache>
                <c:formatCode>m/d/yyyy</c:formatCode>
                <c:ptCount val="37"/>
                <c:pt idx="0">
                  <c:v>43890</c:v>
                </c:pt>
                <c:pt idx="1">
                  <c:v>43891</c:v>
                </c:pt>
                <c:pt idx="2">
                  <c:v>43893</c:v>
                </c:pt>
                <c:pt idx="3">
                  <c:v>43896</c:v>
                </c:pt>
                <c:pt idx="4">
                  <c:v>43898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</c:numCache>
            </c:numRef>
          </c:cat>
          <c:val>
            <c:numRef>
              <c:f>'Pronósticos 0304 (3)'!$F$4:$F$40</c:f>
              <c:numCache>
                <c:formatCode>_-* #,##0.000_-;\-* #,##0.000_-;_-* "-"??_-;_-@_-</c:formatCode>
                <c:ptCount val="37"/>
                <c:pt idx="0">
                  <c:v>0.5</c:v>
                </c:pt>
                <c:pt idx="1">
                  <c:v>3.1062837195053898</c:v>
                </c:pt>
                <c:pt idx="2">
                  <c:v>3.1062837195053898</c:v>
                </c:pt>
                <c:pt idx="3">
                  <c:v>3.8017840169239308</c:v>
                </c:pt>
                <c:pt idx="4">
                  <c:v>4.4965561056019201</c:v>
                </c:pt>
                <c:pt idx="5">
                  <c:v>4.4965561056019201</c:v>
                </c:pt>
                <c:pt idx="6">
                  <c:v>5.1908930696844333</c:v>
                </c:pt>
                <c:pt idx="7">
                  <c:v>1.7095112913514547</c:v>
                </c:pt>
                <c:pt idx="8">
                  <c:v>1.7095112913514547</c:v>
                </c:pt>
                <c:pt idx="9">
                  <c:v>0.89647729633866391</c:v>
                </c:pt>
                <c:pt idx="10">
                  <c:v>1.5218099259128899</c:v>
                </c:pt>
                <c:pt idx="11">
                  <c:v>2.7000139999726995</c:v>
                </c:pt>
                <c:pt idx="12">
                  <c:v>1.5882304498763296</c:v>
                </c:pt>
                <c:pt idx="13">
                  <c:v>5.5064015458878339</c:v>
                </c:pt>
                <c:pt idx="14">
                  <c:v>2.9113417404063613</c:v>
                </c:pt>
                <c:pt idx="15">
                  <c:v>2.1056667576639794</c:v>
                </c:pt>
                <c:pt idx="16">
                  <c:v>3.2490327114872004</c:v>
                </c:pt>
                <c:pt idx="17">
                  <c:v>1.5663060478480795</c:v>
                </c:pt>
                <c:pt idx="18">
                  <c:v>4.6327287392870646</c:v>
                </c:pt>
                <c:pt idx="19">
                  <c:v>7.0352259779735453</c:v>
                </c:pt>
                <c:pt idx="20">
                  <c:v>4.3477201264704455</c:v>
                </c:pt>
                <c:pt idx="21">
                  <c:v>3.3276861251634502</c:v>
                </c:pt>
                <c:pt idx="22">
                  <c:v>3.40673142744757</c:v>
                </c:pt>
                <c:pt idx="23">
                  <c:v>4.1306756446720598</c:v>
                </c:pt>
                <c:pt idx="24">
                  <c:v>4.3911755241994292</c:v>
                </c:pt>
                <c:pt idx="25">
                  <c:v>7.1557827731153241</c:v>
                </c:pt>
                <c:pt idx="26">
                  <c:v>6.6074823154592899</c:v>
                </c:pt>
                <c:pt idx="27">
                  <c:v>5.5060144499480836</c:v>
                </c:pt>
                <c:pt idx="28">
                  <c:v>7.5773269143188875</c:v>
                </c:pt>
                <c:pt idx="29">
                  <c:v>6.2202069776527464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CF-4BBC-943A-5C2C337C9EAC}"/>
            </c:ext>
          </c:extLst>
        </c:ser>
        <c:ser>
          <c:idx val="1"/>
          <c:order val="1"/>
          <c:spPr>
            <a:ln w="28575" cap="rnd">
              <a:solidFill>
                <a:srgbClr val="FFC000">
                  <a:alpha val="99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'Pronósticos 0304 (3)'!$B$4:$B$40</c:f>
              <c:numCache>
                <c:formatCode>m/d/yyyy</c:formatCode>
                <c:ptCount val="37"/>
                <c:pt idx="0">
                  <c:v>43890</c:v>
                </c:pt>
                <c:pt idx="1">
                  <c:v>43891</c:v>
                </c:pt>
                <c:pt idx="2">
                  <c:v>43893</c:v>
                </c:pt>
                <c:pt idx="3">
                  <c:v>43896</c:v>
                </c:pt>
                <c:pt idx="4">
                  <c:v>43898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</c:numCache>
            </c:numRef>
          </c:cat>
          <c:val>
            <c:numRef>
              <c:f>'Pronósticos 0304 (3)'!$J$4:$J$40</c:f>
              <c:numCache>
                <c:formatCode>General</c:formatCode>
                <c:ptCount val="37"/>
                <c:pt idx="29">
                  <c:v>6.2202069776527464</c:v>
                </c:pt>
                <c:pt idx="30">
                  <c:v>6.0502830965387986</c:v>
                </c:pt>
                <c:pt idx="31">
                  <c:v>8.5093898118986235</c:v>
                </c:pt>
                <c:pt idx="32">
                  <c:v>8.7847669433518654</c:v>
                </c:pt>
                <c:pt idx="33">
                  <c:v>9.0938594819891154</c:v>
                </c:pt>
                <c:pt idx="34">
                  <c:v>9.4728491828394592</c:v>
                </c:pt>
                <c:pt idx="35">
                  <c:v>9.9091433941204539</c:v>
                </c:pt>
                <c:pt idx="36">
                  <c:v>10.383803105788335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CF-4BBC-943A-5C2C337C9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531096"/>
        <c:axId val="685533064"/>
      </c:lineChart>
      <c:dateAx>
        <c:axId val="685531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533064"/>
        <c:crosses val="autoZero"/>
        <c:auto val="1"/>
        <c:lblOffset val="100"/>
        <c:baseTimeUnit val="days"/>
      </c:dateAx>
      <c:valAx>
        <c:axId val="68553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53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Casos Acumulados de COVID-19 en México</a:t>
            </a:r>
            <a:endParaRPr lang="es-MX" sz="1100" b="0"/>
          </a:p>
          <a:p>
            <a:pPr algn="l">
              <a:defRPr/>
            </a:pPr>
            <a:r>
              <a:rPr lang="es-MX" sz="1100" b="0"/>
              <a:t>Última</a:t>
            </a:r>
            <a:r>
              <a:rPr lang="es-MX" sz="1100" b="0" baseline="0"/>
              <a:t> Actualización: 01/04/2020</a:t>
            </a:r>
          </a:p>
          <a:p>
            <a:pPr algn="l">
              <a:defRPr/>
            </a:pPr>
            <a:r>
              <a:rPr lang="es-MX" sz="1100" b="0" baseline="0"/>
              <a:t>Con predicciones (1 semana a futuro)</a:t>
            </a:r>
            <a:endParaRPr lang="es-MX" sz="1050" b="1"/>
          </a:p>
        </c:rich>
      </c:tx>
      <c:layout>
        <c:manualLayout>
          <c:xMode val="edge"/>
          <c:yMode val="edge"/>
          <c:x val="1.0770157661603191E-2"/>
          <c:y val="1.73160173160173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0604'!$C$2</c:f>
              <c:strCache>
                <c:ptCount val="1"/>
                <c:pt idx="0">
                  <c:v>Ct:
Casos Confirm.
Al tiempo 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'Pronósticos 0604'!$B$3:$B$44</c:f>
              <c:numCache>
                <c:formatCode>m/d/yyyy</c:formatCode>
                <c:ptCount val="42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</c:numCache>
            </c:numRef>
          </c:cat>
          <c:val>
            <c:numRef>
              <c:f>'Pronósticos 0604'!$C$3:$C$44</c:f>
              <c:numCache>
                <c:formatCode>_-* #,##0_-;\-* #,##0_-;_-* "-"??_-;_-@_-</c:formatCode>
                <c:ptCount val="42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  <c:pt idx="18">
                  <c:v>316</c:v>
                </c:pt>
                <c:pt idx="19">
                  <c:v>367</c:v>
                </c:pt>
                <c:pt idx="20">
                  <c:v>405</c:v>
                </c:pt>
                <c:pt idx="21">
                  <c:v>475</c:v>
                </c:pt>
                <c:pt idx="22">
                  <c:v>585</c:v>
                </c:pt>
                <c:pt idx="23">
                  <c:v>717</c:v>
                </c:pt>
                <c:pt idx="24">
                  <c:v>848</c:v>
                </c:pt>
                <c:pt idx="25">
                  <c:v>993</c:v>
                </c:pt>
                <c:pt idx="26">
                  <c:v>1094</c:v>
                </c:pt>
                <c:pt idx="27">
                  <c:v>1215</c:v>
                </c:pt>
                <c:pt idx="28">
                  <c:v>1378</c:v>
                </c:pt>
                <c:pt idx="29">
                  <c:v>1510</c:v>
                </c:pt>
                <c:pt idx="30">
                  <c:v>1688</c:v>
                </c:pt>
                <c:pt idx="31">
                  <c:v>1890</c:v>
                </c:pt>
                <c:pt idx="32">
                  <c:v>2143</c:v>
                </c:pt>
                <c:pt idx="33">
                  <c:v>2439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BD-42AE-AC8D-AA34DBC31AE0}"/>
            </c:ext>
          </c:extLst>
        </c:ser>
        <c:ser>
          <c:idx val="1"/>
          <c:order val="1"/>
          <c:spPr>
            <a:ln w="28575" cap="rnd">
              <a:solidFill>
                <a:srgbClr val="F8CB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'Pronósticos 0604'!$B$3:$B$44</c:f>
              <c:numCache>
                <c:formatCode>m/d/yyyy</c:formatCode>
                <c:ptCount val="42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</c:numCache>
            </c:numRef>
          </c:cat>
          <c:val>
            <c:numRef>
              <c:f>'Pronósticos 0604'!$G$3:$G$44</c:f>
              <c:numCache>
                <c:formatCode>General</c:formatCode>
                <c:ptCount val="42"/>
                <c:pt idx="33" formatCode="_-* #,##0_-;\-* #,##0_-;_-* &quot;-&quot;??_-;_-@_-">
                  <c:v>2439</c:v>
                </c:pt>
                <c:pt idx="34" formatCode="_-* #,##0_-;\-* #,##0_-;_-* &quot;-&quot;??_-;_-@_-">
                  <c:v>2676.8335874828213</c:v>
                </c:pt>
                <c:pt idx="35" formatCode="_-* #,##0_-;\-* #,##0_-;_-* &quot;-&quot;??_-;_-@_-">
                  <c:v>2916.6062917963786</c:v>
                </c:pt>
                <c:pt idx="36" formatCode="_-* #,##0_-;\-* #,##0_-;_-* &quot;-&quot;??_-;_-@_-">
                  <c:v>3141.5830513948317</c:v>
                </c:pt>
                <c:pt idx="37" formatCode="_-* #,##0_-;\-* #,##0_-;_-* &quot;-&quot;??_-;_-@_-">
                  <c:v>3354.9980263782704</c:v>
                </c:pt>
                <c:pt idx="38" formatCode="_-* #,##0_-;\-* #,##0_-;_-* &quot;-&quot;??_-;_-@_-">
                  <c:v>3558.4401205014933</c:v>
                </c:pt>
                <c:pt idx="39" formatCode="_-* #,##0_-;\-* #,##0_-;_-* &quot;-&quot;??_-;_-@_-">
                  <c:v>3752.9364468468229</c:v>
                </c:pt>
                <c:pt idx="40" formatCode="_-* #,##0_-;\-* #,##0_-;_-* &quot;-&quot;??_-;_-@_-">
                  <c:v>3939.2349446994285</c:v>
                </c:pt>
                <c:pt idx="41" formatCode="_-* #,##0_-;\-* #,##0_-;_-* &quot;-&quot;??_-;_-@_-">
                  <c:v>4117.9164750457676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BD-42AE-AC8D-AA34DBC31AE0}"/>
            </c:ext>
          </c:extLst>
        </c:ser>
        <c:ser>
          <c:idx val="2"/>
          <c:order val="2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numRef>
              <c:f>'Pronósticos 0604'!$B$3:$B$44</c:f>
              <c:numCache>
                <c:formatCode>m/d/yyyy</c:formatCode>
                <c:ptCount val="42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</c:numCache>
            </c:numRef>
          </c:cat>
          <c:val>
            <c:numRef>
              <c:f>'Pronósticos 0604'!$H$3:$H$44</c:f>
              <c:numCache>
                <c:formatCode>General</c:formatCode>
                <c:ptCount val="42"/>
                <c:pt idx="33" formatCode="_-* #,##0_-;\-* #,##0_-;_-* &quot;-&quot;??_-;_-@_-">
                  <c:v>2439</c:v>
                </c:pt>
                <c:pt idx="34" formatCode="_-* #,##0_-;\-* #,##0_-;_-* &quot;-&quot;??_-;_-@_-">
                  <c:v>2730.2560358882311</c:v>
                </c:pt>
                <c:pt idx="35" formatCode="_-* #,##0_-;\-* #,##0_-;_-* &quot;-&quot;??_-;_-@_-">
                  <c:v>3026.5631492367697</c:v>
                </c:pt>
                <c:pt idx="36" formatCode="_-* #,##0_-;\-* #,##0_-;_-* &quot;-&quot;??_-;_-@_-">
                  <c:v>3322.870262585308</c:v>
                </c:pt>
                <c:pt idx="37" formatCode="_-* #,##0_-;\-* #,##0_-;_-* &quot;-&quot;??_-;_-@_-">
                  <c:v>3619.1773759338466</c:v>
                </c:pt>
                <c:pt idx="38" formatCode="_-* #,##0_-;\-* #,##0_-;_-* &quot;-&quot;??_-;_-@_-">
                  <c:v>3915.4844892823849</c:v>
                </c:pt>
                <c:pt idx="39" formatCode="_-* #,##0_-;\-* #,##0_-;_-* &quot;-&quot;??_-;_-@_-">
                  <c:v>4211.7916026309231</c:v>
                </c:pt>
                <c:pt idx="40" formatCode="_-* #,##0_-;\-* #,##0_-;_-* &quot;-&quot;??_-;_-@_-">
                  <c:v>4508.0987159794622</c:v>
                </c:pt>
                <c:pt idx="41" formatCode="_-* #,##0_-;\-* #,##0_-;_-* &quot;-&quot;??_-;_-@_-">
                  <c:v>4804.4058293279995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BD-42AE-AC8D-AA34DBC31AE0}"/>
            </c:ext>
          </c:extLst>
        </c:ser>
        <c:ser>
          <c:idx val="3"/>
          <c:order val="3"/>
          <c:spPr>
            <a:ln w="28575" cap="rnd">
              <a:solidFill>
                <a:srgbClr val="F8CBC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'Pronósticos 0604'!$B$3:$B$44</c:f>
              <c:numCache>
                <c:formatCode>m/d/yyyy</c:formatCode>
                <c:ptCount val="42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</c:numCache>
            </c:numRef>
          </c:cat>
          <c:val>
            <c:numRef>
              <c:f>'Pronósticos 0604'!$I$3:$I$44</c:f>
              <c:numCache>
                <c:formatCode>General</c:formatCode>
                <c:ptCount val="42"/>
                <c:pt idx="33" formatCode="_-* #,##0_-;\-* #,##0_-;_-* &quot;-&quot;??_-;_-@_-">
                  <c:v>2439</c:v>
                </c:pt>
                <c:pt idx="34" formatCode="_-* #,##0_-;\-* #,##0_-;_-* &quot;-&quot;??_-;_-@_-">
                  <c:v>2783.6784842936408</c:v>
                </c:pt>
                <c:pt idx="35" formatCode="_-* #,##0_-;\-* #,##0_-;_-* &quot;-&quot;??_-;_-@_-">
                  <c:v>3136.5200066771608</c:v>
                </c:pt>
                <c:pt idx="36" formatCode="_-* #,##0_-;\-* #,##0_-;_-* &quot;-&quot;??_-;_-@_-">
                  <c:v>3504.1574737757842</c:v>
                </c:pt>
                <c:pt idx="37" formatCode="_-* #,##0_-;\-* #,##0_-;_-* &quot;-&quot;??_-;_-@_-">
                  <c:v>3883.3567254894228</c:v>
                </c:pt>
                <c:pt idx="38" formatCode="_-* #,##0_-;\-* #,##0_-;_-* &quot;-&quot;??_-;_-@_-">
                  <c:v>4272.5288580632759</c:v>
                </c:pt>
                <c:pt idx="39" formatCode="_-* #,##0_-;\-* #,##0_-;_-* &quot;-&quot;??_-;_-@_-">
                  <c:v>4670.6467584150232</c:v>
                </c:pt>
                <c:pt idx="40" formatCode="_-* #,##0_-;\-* #,##0_-;_-* &quot;-&quot;??_-;_-@_-">
                  <c:v>5076.9624872594959</c:v>
                </c:pt>
                <c:pt idx="41" formatCode="_-* #,##0_-;\-* #,##0_-;_-* &quot;-&quot;??_-;_-@_-">
                  <c:v>5490.8951836102315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1BD-42AE-AC8D-AA34DBC31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21200"/>
        <c:axId val="443623168"/>
      </c:lineChart>
      <c:dateAx>
        <c:axId val="44362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623168"/>
        <c:crosses val="autoZero"/>
        <c:auto val="1"/>
        <c:lblOffset val="100"/>
        <c:baseTimeUnit val="days"/>
        <c:majorUnit val="8"/>
        <c:majorTimeUnit val="days"/>
      </c:dateAx>
      <c:valAx>
        <c:axId val="443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436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Doubling</a:t>
            </a:r>
            <a:r>
              <a:rPr lang="es-MX" b="1" baseline="0"/>
              <a:t> Time por Semana</a:t>
            </a:r>
            <a:endParaRPr lang="es-MX" b="1"/>
          </a:p>
        </c:rich>
      </c:tx>
      <c:layout>
        <c:manualLayout>
          <c:xMode val="edge"/>
          <c:yMode val="edge"/>
          <c:x val="6.7707786526684001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47625" cap="rnd">
              <a:solidFill>
                <a:schemeClr val="tx2">
                  <a:alpha val="6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6262626262626411E-2"/>
                  <c:y val="-9.270617162138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48-4F59-A98B-C331606F324A}"/>
                </c:ext>
              </c:extLst>
            </c:dLbl>
            <c:dLbl>
              <c:idx val="1"/>
              <c:layout>
                <c:manualLayout>
                  <c:x val="-3.8383838383838312E-2"/>
                  <c:y val="-7.33923858669319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48-4F59-A98B-C331606F324A}"/>
                </c:ext>
              </c:extLst>
            </c:dLbl>
            <c:dLbl>
              <c:idx val="2"/>
              <c:layout>
                <c:manualLayout>
                  <c:x val="-7.4073218373934501E-17"/>
                  <c:y val="-5.7941357263367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48-4F59-A98B-C331606F324A}"/>
                </c:ext>
              </c:extLst>
            </c:dLbl>
            <c:dLbl>
              <c:idx val="3"/>
              <c:layout>
                <c:manualLayout>
                  <c:x val="-3.7036609186967251E-17"/>
                  <c:y val="-6.180411441425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48-4F59-A98B-C331606F32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'Pronósticos 0604'!$W$3:$W$7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0604'!$AB$3:$AB$7</c:f>
              <c:numCache>
                <c:formatCode>_(* #,##0.00_);_(* \(#,##0.00\);_(* "-"??_);_(@_)</c:formatCode>
                <c:ptCount val="5"/>
                <c:pt idx="0">
                  <c:v>5.3994675118833451</c:v>
                </c:pt>
                <c:pt idx="1">
                  <c:v>3.056349491604454</c:v>
                </c:pt>
                <c:pt idx="2">
                  <c:v>1.7155292630217351</c:v>
                </c:pt>
                <c:pt idx="3">
                  <c:v>5.5422084843199029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48-4F59-A98B-C331606F32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86039136"/>
        <c:axId val="686039464"/>
      </c:lineChart>
      <c:catAx>
        <c:axId val="686039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6039464"/>
        <c:crosses val="autoZero"/>
        <c:auto val="1"/>
        <c:lblAlgn val="ctr"/>
        <c:lblOffset val="100"/>
        <c:noMultiLvlLbl val="0"/>
      </c:catAx>
      <c:valAx>
        <c:axId val="686039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Días que tarda en doblarse el número de confirmados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603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Casos</a:t>
            </a:r>
            <a:r>
              <a:rPr lang="es-MX" b="1" baseline="0"/>
              <a:t> Confirmados de COVID-19 </a:t>
            </a:r>
          </a:p>
          <a:p>
            <a:pPr algn="l">
              <a:defRPr/>
            </a:pPr>
            <a:r>
              <a:rPr lang="es-MX" b="1" baseline="0"/>
              <a:t>en México por Semana</a:t>
            </a:r>
            <a:endParaRPr lang="es-MX" b="1"/>
          </a:p>
        </c:rich>
      </c:tx>
      <c:layout>
        <c:manualLayout>
          <c:xMode val="edge"/>
          <c:yMode val="edge"/>
          <c:x val="4.0763342082239581E-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Casos Acumulados</c:v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C00000">
                    <a:alpha val="45000"/>
                  </a:srgbClr>
                </a:solidFill>
                <a:prstDash val="dash"/>
              </a:ln>
              <a:effectLst/>
            </c:spPr>
            <c:trendlineType val="exp"/>
            <c:dispRSqr val="0"/>
            <c:dispEq val="0"/>
          </c:trendline>
          <c:cat>
            <c:strRef>
              <c:f>'Pronósticos 0604'!$W$3:$W$7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0604'!$Y$3:$Y$7</c:f>
              <c:numCache>
                <c:formatCode>_-* #,##0_-;\-* #,##0_-;_-* "-"??_-;_-@_-</c:formatCode>
                <c:ptCount val="5"/>
                <c:pt idx="0">
                  <c:v>2439</c:v>
                </c:pt>
                <c:pt idx="1">
                  <c:v>993</c:v>
                </c:pt>
                <c:pt idx="2">
                  <c:v>203</c:v>
                </c:pt>
                <c:pt idx="3">
                  <c:v>12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C1-4A9B-B0B4-7CF3083EB37A}"/>
            </c:ext>
          </c:extLst>
        </c:ser>
        <c:ser>
          <c:idx val="1"/>
          <c:order val="1"/>
          <c:tx>
            <c:v>Nuevos Casos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'Pronósticos 0604'!$W$3:$W$7</c:f>
              <c:strCache>
                <c:ptCount val="5"/>
                <c:pt idx="0">
                  <c:v>Semana 5</c:v>
                </c:pt>
                <c:pt idx="1">
                  <c:v>Semana 4</c:v>
                </c:pt>
                <c:pt idx="2">
                  <c:v>Semana 3</c:v>
                </c:pt>
                <c:pt idx="3">
                  <c:v>Semana 2</c:v>
                </c:pt>
                <c:pt idx="4">
                  <c:v>Semana 1</c:v>
                </c:pt>
              </c:strCache>
            </c:strRef>
          </c:cat>
          <c:val>
            <c:numRef>
              <c:f>'Pronósticos 0604'!$Z$3:$Z$7</c:f>
              <c:numCache>
                <c:formatCode>_-* #,##0_-;\-* #,##0_-;_-* "-"??_-;_-@_-</c:formatCode>
                <c:ptCount val="5"/>
                <c:pt idx="0">
                  <c:v>1446</c:v>
                </c:pt>
                <c:pt idx="1">
                  <c:v>790</c:v>
                </c:pt>
                <c:pt idx="2">
                  <c:v>191</c:v>
                </c:pt>
                <c:pt idx="3">
                  <c:v>7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C1-4A9B-B0B4-7CF3083EB3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1"/>
        <c:overlap val="4"/>
        <c:axId val="698628184"/>
        <c:axId val="698629168"/>
      </c:barChart>
      <c:catAx>
        <c:axId val="698628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8629168"/>
        <c:crosses val="autoZero"/>
        <c:auto val="1"/>
        <c:lblAlgn val="ctr"/>
        <c:lblOffset val="100"/>
        <c:noMultiLvlLbl val="0"/>
      </c:catAx>
      <c:valAx>
        <c:axId val="698629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862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Incrementos Diarios</a:t>
            </a:r>
            <a:r>
              <a:rPr lang="es-MX" b="1" baseline="0"/>
              <a:t> de Casos Confirmados de COVID-19 en México</a:t>
            </a:r>
            <a:endParaRPr lang="es-MX" b="1"/>
          </a:p>
        </c:rich>
      </c:tx>
      <c:layout>
        <c:manualLayout>
          <c:xMode val="edge"/>
          <c:yMode val="edge"/>
          <c:x val="7.3433095681796007E-3"/>
          <c:y val="1.92481870329662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6565"/>
            </a:solidFill>
            <a:ln>
              <a:solidFill>
                <a:srgbClr val="F8CBC4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tx1">
                    <a:alpha val="60000"/>
                  </a:schemeClr>
                </a:solidFill>
                <a:prstDash val="sysDash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'Pronósticos 0604'!$B$3:$B$36</c:f>
              <c:numCache>
                <c:formatCode>m/d/yyyy</c:formatCode>
                <c:ptCount val="34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</c:numCache>
            </c:numRef>
          </c:cat>
          <c:val>
            <c:numRef>
              <c:f>'Pronósticos 0604'!$D$3:$D$36</c:f>
              <c:numCache>
                <c:formatCode>_-* #,##0_-;\-* #,##0_-;_-* "-"??_-;_-@_-</c:formatCode>
                <c:ptCount val="34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14</c:v>
                </c:pt>
                <c:pt idx="11">
                  <c:v>15</c:v>
                </c:pt>
                <c:pt idx="12">
                  <c:v>12</c:v>
                </c:pt>
                <c:pt idx="13">
                  <c:v>29</c:v>
                </c:pt>
                <c:pt idx="14">
                  <c:v>11</c:v>
                </c:pt>
                <c:pt idx="15">
                  <c:v>25</c:v>
                </c:pt>
                <c:pt idx="16">
                  <c:v>46</c:v>
                </c:pt>
                <c:pt idx="17">
                  <c:v>39</c:v>
                </c:pt>
                <c:pt idx="18">
                  <c:v>113</c:v>
                </c:pt>
                <c:pt idx="19">
                  <c:v>51</c:v>
                </c:pt>
                <c:pt idx="20">
                  <c:v>38</c:v>
                </c:pt>
                <c:pt idx="21">
                  <c:v>70</c:v>
                </c:pt>
                <c:pt idx="22">
                  <c:v>110</c:v>
                </c:pt>
                <c:pt idx="23">
                  <c:v>132</c:v>
                </c:pt>
                <c:pt idx="24">
                  <c:v>131</c:v>
                </c:pt>
                <c:pt idx="25">
                  <c:v>145</c:v>
                </c:pt>
                <c:pt idx="26">
                  <c:v>101</c:v>
                </c:pt>
                <c:pt idx="27">
                  <c:v>121</c:v>
                </c:pt>
                <c:pt idx="28">
                  <c:v>163</c:v>
                </c:pt>
                <c:pt idx="29">
                  <c:v>132</c:v>
                </c:pt>
                <c:pt idx="30">
                  <c:v>178</c:v>
                </c:pt>
                <c:pt idx="31">
                  <c:v>202</c:v>
                </c:pt>
                <c:pt idx="32">
                  <c:v>253</c:v>
                </c:pt>
                <c:pt idx="33">
                  <c:v>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AB-4EA7-91DA-5101FBD4E2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2872256"/>
        <c:axId val="672871928"/>
      </c:barChart>
      <c:dateAx>
        <c:axId val="672872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2871928"/>
        <c:crosses val="autoZero"/>
        <c:auto val="1"/>
        <c:lblOffset val="100"/>
        <c:baseTimeUnit val="days"/>
        <c:majorUnit val="8"/>
        <c:majorTimeUnit val="days"/>
      </c:dateAx>
      <c:valAx>
        <c:axId val="67287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287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Doubling Times Diarios</a:t>
            </a:r>
          </a:p>
        </c:rich>
      </c:tx>
      <c:layout>
        <c:manualLayout>
          <c:xMode val="edge"/>
          <c:yMode val="edge"/>
          <c:x val="9.2449176768750942E-3"/>
          <c:y val="1.96873178535552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'Pronósticos 0604'!$B$4:$B$44</c:f>
              <c:numCache>
                <c:formatCode>m/d/yyyy</c:formatCode>
                <c:ptCount val="41"/>
                <c:pt idx="0">
                  <c:v>43890</c:v>
                </c:pt>
                <c:pt idx="1">
                  <c:v>43891</c:v>
                </c:pt>
                <c:pt idx="2">
                  <c:v>43893</c:v>
                </c:pt>
                <c:pt idx="3">
                  <c:v>43896</c:v>
                </c:pt>
                <c:pt idx="4">
                  <c:v>43898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</c:numCache>
            </c:numRef>
          </c:cat>
          <c:val>
            <c:numRef>
              <c:f>'Pronósticos 0604'!$F$4:$F$44</c:f>
              <c:numCache>
                <c:formatCode>_-* #,##0.000_-;\-* #,##0.000_-;_-* "-"??_-;_-@_-</c:formatCode>
                <c:ptCount val="41"/>
                <c:pt idx="0">
                  <c:v>0.5</c:v>
                </c:pt>
                <c:pt idx="1">
                  <c:v>3.1062837195053898</c:v>
                </c:pt>
                <c:pt idx="2">
                  <c:v>3.1062837195053898</c:v>
                </c:pt>
                <c:pt idx="3">
                  <c:v>3.8017840169239308</c:v>
                </c:pt>
                <c:pt idx="4">
                  <c:v>4.4965561056019201</c:v>
                </c:pt>
                <c:pt idx="5">
                  <c:v>4.4965561056019201</c:v>
                </c:pt>
                <c:pt idx="6">
                  <c:v>5.1908930696844333</c:v>
                </c:pt>
                <c:pt idx="7">
                  <c:v>1.7095112913514547</c:v>
                </c:pt>
                <c:pt idx="8">
                  <c:v>1.7095112913514547</c:v>
                </c:pt>
                <c:pt idx="9">
                  <c:v>0.89647729633866391</c:v>
                </c:pt>
                <c:pt idx="10">
                  <c:v>1.5218099259128899</c:v>
                </c:pt>
                <c:pt idx="11">
                  <c:v>2.7000139999726995</c:v>
                </c:pt>
                <c:pt idx="12">
                  <c:v>1.5882304498763296</c:v>
                </c:pt>
                <c:pt idx="13">
                  <c:v>5.5064015458878339</c:v>
                </c:pt>
                <c:pt idx="14">
                  <c:v>2.9113417404063613</c:v>
                </c:pt>
                <c:pt idx="15">
                  <c:v>2.1056667576639794</c:v>
                </c:pt>
                <c:pt idx="16">
                  <c:v>3.2490327114872004</c:v>
                </c:pt>
                <c:pt idx="17">
                  <c:v>1.5663060478480795</c:v>
                </c:pt>
                <c:pt idx="18">
                  <c:v>4.6327287392870646</c:v>
                </c:pt>
                <c:pt idx="19">
                  <c:v>7.0352259779735453</c:v>
                </c:pt>
                <c:pt idx="20">
                  <c:v>4.3477201264704455</c:v>
                </c:pt>
                <c:pt idx="21">
                  <c:v>3.3276861251634502</c:v>
                </c:pt>
                <c:pt idx="22">
                  <c:v>3.40673142744757</c:v>
                </c:pt>
                <c:pt idx="23">
                  <c:v>4.1306756446720598</c:v>
                </c:pt>
                <c:pt idx="24">
                  <c:v>4.3911755241994292</c:v>
                </c:pt>
                <c:pt idx="25">
                  <c:v>7.1557827731153241</c:v>
                </c:pt>
                <c:pt idx="26">
                  <c:v>6.6074823154592899</c:v>
                </c:pt>
                <c:pt idx="27">
                  <c:v>5.5060144499480836</c:v>
                </c:pt>
                <c:pt idx="28">
                  <c:v>7.5773269143188875</c:v>
                </c:pt>
                <c:pt idx="29">
                  <c:v>6.2202069776527464</c:v>
                </c:pt>
                <c:pt idx="30">
                  <c:v>6.1322857766562695</c:v>
                </c:pt>
                <c:pt idx="31">
                  <c:v>5.5173748444369801</c:v>
                </c:pt>
                <c:pt idx="32">
                  <c:v>5.3573942302999633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B-49E6-B8B6-AC237DA69BA0}"/>
            </c:ext>
          </c:extLst>
        </c:ser>
        <c:ser>
          <c:idx val="1"/>
          <c:order val="1"/>
          <c:spPr>
            <a:ln w="28575" cap="rnd">
              <a:solidFill>
                <a:srgbClr val="FFC000">
                  <a:alpha val="99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'Pronósticos 0604'!$B$4:$B$44</c:f>
              <c:numCache>
                <c:formatCode>m/d/yyyy</c:formatCode>
                <c:ptCount val="41"/>
                <c:pt idx="0">
                  <c:v>43890</c:v>
                </c:pt>
                <c:pt idx="1">
                  <c:v>43891</c:v>
                </c:pt>
                <c:pt idx="2">
                  <c:v>43893</c:v>
                </c:pt>
                <c:pt idx="3">
                  <c:v>43896</c:v>
                </c:pt>
                <c:pt idx="4">
                  <c:v>43898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</c:numCache>
            </c:numRef>
          </c:cat>
          <c:val>
            <c:numRef>
              <c:f>'Pronósticos 0604'!$J$4:$J$44</c:f>
              <c:numCache>
                <c:formatCode>General</c:formatCode>
                <c:ptCount val="41"/>
                <c:pt idx="32">
                  <c:v>5.3573942302999633</c:v>
                </c:pt>
                <c:pt idx="33">
                  <c:v>5.2437606455976811</c:v>
                </c:pt>
                <c:pt idx="34">
                  <c:v>5.8081394061088085</c:v>
                </c:pt>
                <c:pt idx="35">
                  <c:v>6.2537974322179366</c:v>
                </c:pt>
                <c:pt idx="36">
                  <c:v>6.7459709712829543</c:v>
                </c:pt>
                <c:pt idx="37">
                  <c:v>7.2576315603958115</c:v>
                </c:pt>
                <c:pt idx="38">
                  <c:v>7.7801575391820101</c:v>
                </c:pt>
                <c:pt idx="39">
                  <c:v>8.3095636715258703</c:v>
                </c:pt>
                <c:pt idx="40">
                  <c:v>8.8436274818237024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EB-49E6-B8B6-AC237DA69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531096"/>
        <c:axId val="685533064"/>
      </c:lineChart>
      <c:dateAx>
        <c:axId val="685531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533064"/>
        <c:crosses val="autoZero"/>
        <c:auto val="1"/>
        <c:lblOffset val="100"/>
        <c:baseTimeUnit val="days"/>
      </c:dateAx>
      <c:valAx>
        <c:axId val="68553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53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141752</xdr:colOff>
      <xdr:row>0</xdr:row>
      <xdr:rowOff>86284</xdr:rowOff>
    </xdr:from>
    <xdr:to>
      <xdr:col>21</xdr:col>
      <xdr:colOff>560293</xdr:colOff>
      <xdr:row>20</xdr:row>
      <xdr:rowOff>78441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AE548C-4A0E-4C1E-9869-AB741A048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739588</xdr:colOff>
      <xdr:row>7</xdr:row>
      <xdr:rowOff>62750</xdr:rowOff>
    </xdr:from>
    <xdr:to>
      <xdr:col>30</xdr:col>
      <xdr:colOff>168088</xdr:colOff>
      <xdr:row>24</xdr:row>
      <xdr:rowOff>112057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1ED478A-00E1-4207-8375-E29BB6F3C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235324</xdr:colOff>
      <xdr:row>7</xdr:row>
      <xdr:rowOff>51544</xdr:rowOff>
    </xdr:from>
    <xdr:to>
      <xdr:col>37</xdr:col>
      <xdr:colOff>369794</xdr:colOff>
      <xdr:row>24</xdr:row>
      <xdr:rowOff>145675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C7C3D84-0D28-4C37-812D-3086D60DC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156882</xdr:colOff>
      <xdr:row>21</xdr:row>
      <xdr:rowOff>51546</xdr:rowOff>
    </xdr:from>
    <xdr:to>
      <xdr:col>21</xdr:col>
      <xdr:colOff>560294</xdr:colOff>
      <xdr:row>40</xdr:row>
      <xdr:rowOff>123264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5534E1D-7C39-4EDA-90E3-2143C82DE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156882</xdr:colOff>
      <xdr:row>41</xdr:row>
      <xdr:rowOff>6723</xdr:rowOff>
    </xdr:from>
    <xdr:to>
      <xdr:col>21</xdr:col>
      <xdr:colOff>571499</xdr:colOff>
      <xdr:row>61</xdr:row>
      <xdr:rowOff>67235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54FBAF-4098-438E-819C-269CA704E7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141752</xdr:colOff>
      <xdr:row>0</xdr:row>
      <xdr:rowOff>86284</xdr:rowOff>
    </xdr:from>
    <xdr:to>
      <xdr:col>21</xdr:col>
      <xdr:colOff>560293</xdr:colOff>
      <xdr:row>20</xdr:row>
      <xdr:rowOff>78441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2053E0-F1D1-40A6-9492-8E4587B01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761999</xdr:colOff>
      <xdr:row>8</xdr:row>
      <xdr:rowOff>40339</xdr:rowOff>
    </xdr:from>
    <xdr:to>
      <xdr:col>30</xdr:col>
      <xdr:colOff>190499</xdr:colOff>
      <xdr:row>25</xdr:row>
      <xdr:rowOff>89646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0333FDC-E3C9-40DC-9526-2ECA18786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235324</xdr:colOff>
      <xdr:row>7</xdr:row>
      <xdr:rowOff>51544</xdr:rowOff>
    </xdr:from>
    <xdr:to>
      <xdr:col>37</xdr:col>
      <xdr:colOff>369794</xdr:colOff>
      <xdr:row>24</xdr:row>
      <xdr:rowOff>145675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304E09A-FE0F-473E-B1C6-167B38F33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156882</xdr:colOff>
      <xdr:row>21</xdr:row>
      <xdr:rowOff>51546</xdr:rowOff>
    </xdr:from>
    <xdr:to>
      <xdr:col>21</xdr:col>
      <xdr:colOff>560294</xdr:colOff>
      <xdr:row>40</xdr:row>
      <xdr:rowOff>123264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84C36D-BEA6-4408-BD9D-F3446FCE2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156882</xdr:colOff>
      <xdr:row>41</xdr:row>
      <xdr:rowOff>6723</xdr:rowOff>
    </xdr:from>
    <xdr:to>
      <xdr:col>21</xdr:col>
      <xdr:colOff>571499</xdr:colOff>
      <xdr:row>61</xdr:row>
      <xdr:rowOff>67235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405DC30-BF04-4D6F-80E5-E5173E70D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141752</xdr:colOff>
      <xdr:row>0</xdr:row>
      <xdr:rowOff>86284</xdr:rowOff>
    </xdr:from>
    <xdr:to>
      <xdr:col>21</xdr:col>
      <xdr:colOff>560293</xdr:colOff>
      <xdr:row>20</xdr:row>
      <xdr:rowOff>78441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23903C-25C8-4B7B-8ECC-BA24F53E7A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761999</xdr:colOff>
      <xdr:row>8</xdr:row>
      <xdr:rowOff>40339</xdr:rowOff>
    </xdr:from>
    <xdr:to>
      <xdr:col>30</xdr:col>
      <xdr:colOff>190499</xdr:colOff>
      <xdr:row>25</xdr:row>
      <xdr:rowOff>89646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FC7DD6E-48A0-48A2-BD4F-343EE63FC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235324</xdr:colOff>
      <xdr:row>7</xdr:row>
      <xdr:rowOff>51544</xdr:rowOff>
    </xdr:from>
    <xdr:to>
      <xdr:col>37</xdr:col>
      <xdr:colOff>369794</xdr:colOff>
      <xdr:row>24</xdr:row>
      <xdr:rowOff>145675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E6A578E-DE86-4B97-83ED-0AA2B4C380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156882</xdr:colOff>
      <xdr:row>21</xdr:row>
      <xdr:rowOff>51546</xdr:rowOff>
    </xdr:from>
    <xdr:to>
      <xdr:col>21</xdr:col>
      <xdr:colOff>560294</xdr:colOff>
      <xdr:row>40</xdr:row>
      <xdr:rowOff>123264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B904C03-090B-4858-BCFC-5BE1675A2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156882</xdr:colOff>
      <xdr:row>41</xdr:row>
      <xdr:rowOff>6723</xdr:rowOff>
    </xdr:from>
    <xdr:to>
      <xdr:col>21</xdr:col>
      <xdr:colOff>571499</xdr:colOff>
      <xdr:row>61</xdr:row>
      <xdr:rowOff>67235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70224C1-2106-4B10-93E2-D1F56361A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141752</xdr:colOff>
      <xdr:row>0</xdr:row>
      <xdr:rowOff>86284</xdr:rowOff>
    </xdr:from>
    <xdr:to>
      <xdr:col>21</xdr:col>
      <xdr:colOff>560293</xdr:colOff>
      <xdr:row>20</xdr:row>
      <xdr:rowOff>78441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CE7614-4400-4915-9CA1-E2784EA18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728381</xdr:colOff>
      <xdr:row>8</xdr:row>
      <xdr:rowOff>17928</xdr:rowOff>
    </xdr:from>
    <xdr:to>
      <xdr:col>30</xdr:col>
      <xdr:colOff>156881</xdr:colOff>
      <xdr:row>25</xdr:row>
      <xdr:rowOff>67235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4250B0-FB3F-4EC6-8826-BA3DC9F228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235324</xdr:colOff>
      <xdr:row>7</xdr:row>
      <xdr:rowOff>51544</xdr:rowOff>
    </xdr:from>
    <xdr:to>
      <xdr:col>37</xdr:col>
      <xdr:colOff>369794</xdr:colOff>
      <xdr:row>24</xdr:row>
      <xdr:rowOff>145675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2E03BCA-6679-40E7-BC9C-1700E4968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156882</xdr:colOff>
      <xdr:row>21</xdr:row>
      <xdr:rowOff>51546</xdr:rowOff>
    </xdr:from>
    <xdr:to>
      <xdr:col>21</xdr:col>
      <xdr:colOff>560294</xdr:colOff>
      <xdr:row>40</xdr:row>
      <xdr:rowOff>123264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BC58AE-D663-4060-B945-CC5DE5748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156882</xdr:colOff>
      <xdr:row>41</xdr:row>
      <xdr:rowOff>6723</xdr:rowOff>
    </xdr:from>
    <xdr:to>
      <xdr:col>21</xdr:col>
      <xdr:colOff>571499</xdr:colOff>
      <xdr:row>61</xdr:row>
      <xdr:rowOff>67235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2B0CDF1-6159-4F48-A364-392CBE3EAD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9281A-819C-4001-9C70-F0BC22B2DE7B}">
  <dimension ref="A1:AM39"/>
  <sheetViews>
    <sheetView showGridLines="0" topLeftCell="J1" zoomScale="85" zoomScaleNormal="85" workbookViewId="0">
      <selection activeCell="C32" sqref="C32:C36"/>
    </sheetView>
  </sheetViews>
  <sheetFormatPr baseColWidth="10" defaultRowHeight="15" x14ac:dyDescent="0.25"/>
  <cols>
    <col min="3" max="3" width="15.42578125" customWidth="1"/>
    <col min="4" max="4" width="14.28515625" customWidth="1"/>
    <col min="6" max="6" width="13" customWidth="1"/>
    <col min="7" max="7" width="11.85546875" bestFit="1" customWidth="1"/>
    <col min="8" max="8" width="13.5703125" customWidth="1"/>
  </cols>
  <sheetData>
    <row r="1" spans="1:39" x14ac:dyDescent="0.25">
      <c r="A1" s="23" t="s">
        <v>9</v>
      </c>
      <c r="B1" s="24"/>
      <c r="C1" s="24"/>
      <c r="D1" s="24"/>
      <c r="E1" s="24"/>
      <c r="F1" s="24"/>
      <c r="G1" s="30" t="s">
        <v>0</v>
      </c>
      <c r="H1" s="30"/>
      <c r="I1" s="30"/>
      <c r="J1" s="30"/>
      <c r="X1" s="22" t="s">
        <v>10</v>
      </c>
      <c r="AM1">
        <v>0</v>
      </c>
    </row>
    <row r="2" spans="1:39" ht="47.25" x14ac:dyDescent="0.25">
      <c r="A2" s="12" t="s">
        <v>5</v>
      </c>
      <c r="B2" s="12" t="s">
        <v>4</v>
      </c>
      <c r="C2" s="12" t="s">
        <v>6</v>
      </c>
      <c r="D2" s="13" t="s">
        <v>8</v>
      </c>
      <c r="E2" s="11" t="s">
        <v>7</v>
      </c>
      <c r="F2" s="11" t="s">
        <v>14</v>
      </c>
      <c r="G2" s="14" t="s">
        <v>1</v>
      </c>
      <c r="H2" s="14" t="s">
        <v>2</v>
      </c>
      <c r="I2" s="14" t="s">
        <v>3</v>
      </c>
      <c r="J2" s="14"/>
      <c r="W2" s="16" t="s">
        <v>15</v>
      </c>
      <c r="X2" s="16" t="s">
        <v>4</v>
      </c>
      <c r="Y2" s="16" t="s">
        <v>11</v>
      </c>
      <c r="Z2" s="16" t="s">
        <v>12</v>
      </c>
      <c r="AA2" s="16" t="s">
        <v>13</v>
      </c>
      <c r="AB2" s="17" t="s">
        <v>14</v>
      </c>
    </row>
    <row r="3" spans="1:39" x14ac:dyDescent="0.25">
      <c r="A3" s="2">
        <f t="shared" ref="A3:A19" si="0">+B3+1-$B$3</f>
        <v>1</v>
      </c>
      <c r="B3" s="3">
        <v>43889</v>
      </c>
      <c r="C3" s="8">
        <v>1</v>
      </c>
      <c r="D3" s="9">
        <f>+C3</f>
        <v>1</v>
      </c>
      <c r="E3" s="9"/>
      <c r="F3" s="9"/>
      <c r="G3" s="5"/>
      <c r="H3" s="5"/>
      <c r="I3" s="5"/>
      <c r="J3" s="29"/>
      <c r="W3" s="28" t="s">
        <v>16</v>
      </c>
      <c r="X3" s="18">
        <f>+B31</f>
        <v>43922</v>
      </c>
      <c r="Y3" s="19">
        <f>+VLOOKUP(X3,$B$3:$C$38,2,)</f>
        <v>1378</v>
      </c>
      <c r="Z3" s="20">
        <f>+Y3-Y4</f>
        <v>973</v>
      </c>
      <c r="AA3" s="21">
        <f>+IFERROR(Y3/Y4,0)</f>
        <v>3.4024691358024692</v>
      </c>
      <c r="AB3" s="21">
        <f>7*LOG(2)/LOG(AA3)</f>
        <v>3.9624538816110433</v>
      </c>
    </row>
    <row r="4" spans="1:39" x14ac:dyDescent="0.25">
      <c r="A4" s="2">
        <f t="shared" si="0"/>
        <v>2</v>
      </c>
      <c r="B4" s="3">
        <v>43890</v>
      </c>
      <c r="C4" s="8">
        <v>4</v>
      </c>
      <c r="D4" s="9">
        <f>+C4-C3</f>
        <v>3</v>
      </c>
      <c r="E4" s="15">
        <f>+C4/C3</f>
        <v>4</v>
      </c>
      <c r="F4" s="15">
        <f>IFERROR(LOG(2)/LOG(E4),F3)</f>
        <v>0.5</v>
      </c>
      <c r="G4" s="5"/>
      <c r="H4" s="5"/>
      <c r="I4" s="5"/>
      <c r="J4" s="29"/>
      <c r="W4" s="5" t="s">
        <v>17</v>
      </c>
      <c r="X4" s="25">
        <f>+X3-8</f>
        <v>43914</v>
      </c>
      <c r="Y4" s="6">
        <f t="shared" ref="Y4:Y7" si="1">+VLOOKUP(X4,$B$3:$C$38,2,)</f>
        <v>405</v>
      </c>
      <c r="Z4" s="26">
        <f>+Y4-Y5</f>
        <v>352</v>
      </c>
      <c r="AA4" s="27">
        <f>+IFERROR(Y4/Y5,0)</f>
        <v>7.6415094339622645</v>
      </c>
      <c r="AB4" s="27">
        <f t="shared" ref="AB4:AB6" si="2">7*LOG(2)/LOG(AA4)</f>
        <v>2.3859371691749955</v>
      </c>
    </row>
    <row r="5" spans="1:39" x14ac:dyDescent="0.25">
      <c r="A5" s="2">
        <f t="shared" si="0"/>
        <v>3</v>
      </c>
      <c r="B5" s="3">
        <v>43891</v>
      </c>
      <c r="C5" s="8">
        <v>5</v>
      </c>
      <c r="D5" s="9">
        <f t="shared" ref="D5:D31" si="3">+C5-C4</f>
        <v>1</v>
      </c>
      <c r="E5" s="15">
        <f t="shared" ref="E5:E31" si="4">+C5/C4</f>
        <v>1.25</v>
      </c>
      <c r="F5" s="15">
        <f t="shared" ref="F5:F30" si="5">IFERROR(LOG(2)/LOG(E5),F4)</f>
        <v>3.1062837195053898</v>
      </c>
      <c r="G5" s="5"/>
      <c r="H5" s="5"/>
      <c r="I5" s="5"/>
      <c r="J5" s="29"/>
      <c r="W5" s="28" t="s">
        <v>18</v>
      </c>
      <c r="X5" s="25">
        <f>+X4-8</f>
        <v>43906</v>
      </c>
      <c r="Y5" s="6">
        <f t="shared" si="1"/>
        <v>53</v>
      </c>
      <c r="Z5" s="26">
        <f>+Y5-Y6</f>
        <v>46</v>
      </c>
      <c r="AA5" s="27">
        <f>+IFERROR(Y5/Y6,0)</f>
        <v>7.5714285714285712</v>
      </c>
      <c r="AB5" s="27">
        <f t="shared" si="2"/>
        <v>2.396796073257291</v>
      </c>
    </row>
    <row r="6" spans="1:39" x14ac:dyDescent="0.25">
      <c r="A6" s="2">
        <f t="shared" si="0"/>
        <v>5</v>
      </c>
      <c r="B6" s="3">
        <v>43893</v>
      </c>
      <c r="C6" s="8">
        <v>5</v>
      </c>
      <c r="D6" s="9">
        <f t="shared" si="3"/>
        <v>0</v>
      </c>
      <c r="E6" s="15">
        <f t="shared" si="4"/>
        <v>1</v>
      </c>
      <c r="F6" s="15">
        <f t="shared" si="5"/>
        <v>3.1062837195053898</v>
      </c>
      <c r="G6" s="5"/>
      <c r="H6" s="5"/>
      <c r="I6" s="5"/>
      <c r="J6" s="29"/>
      <c r="W6" s="5" t="s">
        <v>19</v>
      </c>
      <c r="X6" s="25">
        <f>+X5-8</f>
        <v>43898</v>
      </c>
      <c r="Y6" s="6">
        <f t="shared" si="1"/>
        <v>7</v>
      </c>
      <c r="Z6" s="26">
        <f>+Y6-Y7</f>
        <v>3</v>
      </c>
      <c r="AA6" s="27">
        <f>+IFERROR(Y6/Y7,0)</f>
        <v>1.75</v>
      </c>
      <c r="AB6" s="27">
        <f t="shared" si="2"/>
        <v>8.6702883809266673</v>
      </c>
    </row>
    <row r="7" spans="1:39" x14ac:dyDescent="0.25">
      <c r="A7" s="2">
        <f t="shared" si="0"/>
        <v>8</v>
      </c>
      <c r="B7" s="3">
        <v>43896</v>
      </c>
      <c r="C7" s="8">
        <v>6</v>
      </c>
      <c r="D7" s="9">
        <f t="shared" si="3"/>
        <v>1</v>
      </c>
      <c r="E7" s="15">
        <f t="shared" si="4"/>
        <v>1.2</v>
      </c>
      <c r="F7" s="15">
        <f t="shared" si="5"/>
        <v>3.8017840169239308</v>
      </c>
      <c r="G7" s="5"/>
      <c r="H7" s="5"/>
      <c r="I7" s="5"/>
      <c r="J7" s="29"/>
      <c r="W7" s="28" t="s">
        <v>20</v>
      </c>
      <c r="X7" s="25">
        <f>+X6-8</f>
        <v>43890</v>
      </c>
      <c r="Y7" s="6">
        <f t="shared" si="1"/>
        <v>4</v>
      </c>
      <c r="Z7" s="26">
        <f>+Y7-X8</f>
        <v>4</v>
      </c>
      <c r="AA7" s="27">
        <f>+IFERROR(Y7/X8,0)</f>
        <v>0</v>
      </c>
      <c r="AB7" s="27">
        <v>0</v>
      </c>
    </row>
    <row r="8" spans="1:39" x14ac:dyDescent="0.25">
      <c r="A8" s="2">
        <f t="shared" si="0"/>
        <v>10</v>
      </c>
      <c r="B8" s="3">
        <v>43898</v>
      </c>
      <c r="C8" s="8">
        <v>7</v>
      </c>
      <c r="D8" s="9">
        <f t="shared" si="3"/>
        <v>1</v>
      </c>
      <c r="E8" s="15">
        <f t="shared" si="4"/>
        <v>1.1666666666666667</v>
      </c>
      <c r="F8" s="15">
        <f t="shared" si="5"/>
        <v>4.4965561056019201</v>
      </c>
      <c r="G8" s="5"/>
      <c r="H8" s="5"/>
      <c r="I8" s="5"/>
      <c r="J8" s="29"/>
      <c r="W8" s="1"/>
    </row>
    <row r="9" spans="1:39" x14ac:dyDescent="0.25">
      <c r="A9" s="2">
        <f t="shared" si="0"/>
        <v>12</v>
      </c>
      <c r="B9" s="3">
        <v>43900</v>
      </c>
      <c r="C9" s="8">
        <v>7</v>
      </c>
      <c r="D9" s="9">
        <f t="shared" si="3"/>
        <v>0</v>
      </c>
      <c r="E9" s="15">
        <f t="shared" si="4"/>
        <v>1</v>
      </c>
      <c r="F9" s="15">
        <f t="shared" si="5"/>
        <v>4.4965561056019201</v>
      </c>
      <c r="G9" s="5"/>
      <c r="H9" s="5"/>
      <c r="I9" s="5"/>
      <c r="J9" s="29"/>
      <c r="W9" s="1"/>
    </row>
    <row r="10" spans="1:39" x14ac:dyDescent="0.25">
      <c r="A10" s="2">
        <f t="shared" si="0"/>
        <v>13</v>
      </c>
      <c r="B10" s="3">
        <v>43901</v>
      </c>
      <c r="C10" s="8">
        <v>8</v>
      </c>
      <c r="D10" s="9">
        <f t="shared" si="3"/>
        <v>1</v>
      </c>
      <c r="E10" s="15">
        <f t="shared" si="4"/>
        <v>1.1428571428571428</v>
      </c>
      <c r="F10" s="15">
        <f t="shared" si="5"/>
        <v>5.1908930696844333</v>
      </c>
      <c r="G10" s="5"/>
      <c r="H10" s="5"/>
      <c r="I10" s="5"/>
      <c r="J10" s="29"/>
      <c r="W10" s="1"/>
    </row>
    <row r="11" spans="1:39" x14ac:dyDescent="0.25">
      <c r="A11" s="2">
        <f t="shared" si="0"/>
        <v>14</v>
      </c>
      <c r="B11" s="3">
        <v>43902</v>
      </c>
      <c r="C11" s="8">
        <v>12</v>
      </c>
      <c r="D11" s="9">
        <f t="shared" si="3"/>
        <v>4</v>
      </c>
      <c r="E11" s="15">
        <f t="shared" si="4"/>
        <v>1.5</v>
      </c>
      <c r="F11" s="15">
        <f t="shared" si="5"/>
        <v>1.7095112913514547</v>
      </c>
      <c r="G11" s="5"/>
      <c r="H11" s="5"/>
      <c r="I11" s="5"/>
      <c r="J11" s="29"/>
      <c r="W11" s="1"/>
    </row>
    <row r="12" spans="1:39" x14ac:dyDescent="0.25">
      <c r="A12" s="2">
        <f t="shared" si="0"/>
        <v>15</v>
      </c>
      <c r="B12" s="3">
        <v>43903</v>
      </c>
      <c r="C12" s="8">
        <v>12</v>
      </c>
      <c r="D12" s="9">
        <f t="shared" si="3"/>
        <v>0</v>
      </c>
      <c r="E12" s="15">
        <f t="shared" si="4"/>
        <v>1</v>
      </c>
      <c r="F12" s="15">
        <f t="shared" si="5"/>
        <v>1.7095112913514547</v>
      </c>
      <c r="G12" s="5"/>
      <c r="H12" s="5"/>
      <c r="I12" s="5"/>
      <c r="J12" s="29"/>
    </row>
    <row r="13" spans="1:39" x14ac:dyDescent="0.25">
      <c r="A13" s="2">
        <f t="shared" si="0"/>
        <v>16</v>
      </c>
      <c r="B13" s="3">
        <v>43904</v>
      </c>
      <c r="C13" s="8">
        <v>26</v>
      </c>
      <c r="D13" s="9">
        <f t="shared" si="3"/>
        <v>14</v>
      </c>
      <c r="E13" s="15">
        <f t="shared" si="4"/>
        <v>2.1666666666666665</v>
      </c>
      <c r="F13" s="15">
        <f t="shared" si="5"/>
        <v>0.89647729633866391</v>
      </c>
      <c r="G13" s="5"/>
      <c r="H13" s="5"/>
      <c r="I13" s="5"/>
      <c r="J13" s="29"/>
    </row>
    <row r="14" spans="1:39" x14ac:dyDescent="0.25">
      <c r="A14" s="2">
        <f t="shared" si="0"/>
        <v>17</v>
      </c>
      <c r="B14" s="3">
        <v>43905</v>
      </c>
      <c r="C14" s="8">
        <v>41</v>
      </c>
      <c r="D14" s="9">
        <f t="shared" si="3"/>
        <v>15</v>
      </c>
      <c r="E14" s="15">
        <f t="shared" si="4"/>
        <v>1.5769230769230769</v>
      </c>
      <c r="F14" s="15">
        <f t="shared" si="5"/>
        <v>1.5218099259128899</v>
      </c>
      <c r="G14" s="5"/>
      <c r="H14" s="5"/>
      <c r="I14" s="5"/>
      <c r="J14" s="29"/>
    </row>
    <row r="15" spans="1:39" x14ac:dyDescent="0.25">
      <c r="A15" s="2">
        <f t="shared" si="0"/>
        <v>18</v>
      </c>
      <c r="B15" s="3">
        <v>43906</v>
      </c>
      <c r="C15" s="8">
        <v>53</v>
      </c>
      <c r="D15" s="9">
        <f t="shared" si="3"/>
        <v>12</v>
      </c>
      <c r="E15" s="15">
        <f t="shared" si="4"/>
        <v>1.2926829268292683</v>
      </c>
      <c r="F15" s="15">
        <f t="shared" si="5"/>
        <v>2.7000139999726995</v>
      </c>
      <c r="G15" s="5"/>
      <c r="H15" s="5"/>
      <c r="I15" s="5"/>
      <c r="J15" s="29"/>
    </row>
    <row r="16" spans="1:39" x14ac:dyDescent="0.25">
      <c r="A16" s="2">
        <f t="shared" si="0"/>
        <v>19</v>
      </c>
      <c r="B16" s="3">
        <v>43907</v>
      </c>
      <c r="C16" s="8">
        <v>82</v>
      </c>
      <c r="D16" s="9">
        <f t="shared" si="3"/>
        <v>29</v>
      </c>
      <c r="E16" s="15">
        <f t="shared" si="4"/>
        <v>1.5471698113207548</v>
      </c>
      <c r="F16" s="15">
        <f t="shared" si="5"/>
        <v>1.5882304498763296</v>
      </c>
      <c r="G16" s="5"/>
      <c r="H16" s="5"/>
      <c r="I16" s="5"/>
      <c r="J16" s="29"/>
    </row>
    <row r="17" spans="1:10" x14ac:dyDescent="0.25">
      <c r="A17" s="2">
        <f t="shared" si="0"/>
        <v>20</v>
      </c>
      <c r="B17" s="3">
        <v>43908</v>
      </c>
      <c r="C17" s="8">
        <v>93</v>
      </c>
      <c r="D17" s="9">
        <f t="shared" si="3"/>
        <v>11</v>
      </c>
      <c r="E17" s="15">
        <f t="shared" si="4"/>
        <v>1.1341463414634145</v>
      </c>
      <c r="F17" s="15">
        <f t="shared" si="5"/>
        <v>5.5064015458878339</v>
      </c>
      <c r="G17" s="5"/>
      <c r="H17" s="5"/>
      <c r="I17" s="5"/>
      <c r="J17" s="29"/>
    </row>
    <row r="18" spans="1:10" x14ac:dyDescent="0.25">
      <c r="A18" s="2">
        <f t="shared" si="0"/>
        <v>21</v>
      </c>
      <c r="B18" s="3">
        <v>43909</v>
      </c>
      <c r="C18" s="8">
        <v>118</v>
      </c>
      <c r="D18" s="9">
        <f t="shared" si="3"/>
        <v>25</v>
      </c>
      <c r="E18" s="15">
        <f t="shared" si="4"/>
        <v>1.2688172043010753</v>
      </c>
      <c r="F18" s="15">
        <f t="shared" si="5"/>
        <v>2.9113417404063613</v>
      </c>
      <c r="G18" s="5"/>
      <c r="H18" s="5"/>
      <c r="I18" s="5"/>
      <c r="J18" s="29"/>
    </row>
    <row r="19" spans="1:10" x14ac:dyDescent="0.25">
      <c r="A19" s="2">
        <f t="shared" si="0"/>
        <v>22</v>
      </c>
      <c r="B19" s="3">
        <v>43910</v>
      </c>
      <c r="C19" s="8">
        <v>164</v>
      </c>
      <c r="D19" s="9">
        <f t="shared" si="3"/>
        <v>46</v>
      </c>
      <c r="E19" s="15">
        <f t="shared" si="4"/>
        <v>1.3898305084745763</v>
      </c>
      <c r="F19" s="15">
        <f t="shared" si="5"/>
        <v>2.1056667576639794</v>
      </c>
      <c r="G19" s="5"/>
      <c r="H19" s="5"/>
      <c r="I19" s="5"/>
      <c r="J19" s="29"/>
    </row>
    <row r="20" spans="1:10" x14ac:dyDescent="0.25">
      <c r="A20" s="4">
        <v>23</v>
      </c>
      <c r="B20" s="3">
        <v>43911</v>
      </c>
      <c r="C20" s="8">
        <v>203</v>
      </c>
      <c r="D20" s="9">
        <f t="shared" si="3"/>
        <v>39</v>
      </c>
      <c r="E20" s="15">
        <f t="shared" si="4"/>
        <v>1.2378048780487805</v>
      </c>
      <c r="F20" s="15">
        <f t="shared" si="5"/>
        <v>3.2490327114872004</v>
      </c>
      <c r="G20" s="5"/>
      <c r="H20" s="5"/>
      <c r="I20" s="5"/>
      <c r="J20" s="29"/>
    </row>
    <row r="21" spans="1:10" x14ac:dyDescent="0.25">
      <c r="A21" s="4">
        <v>24</v>
      </c>
      <c r="B21" s="3">
        <f t="shared" ref="B21:B38" si="6">+$B$3+A21-1</f>
        <v>43912</v>
      </c>
      <c r="C21" s="8">
        <v>316</v>
      </c>
      <c r="D21" s="9">
        <f t="shared" si="3"/>
        <v>113</v>
      </c>
      <c r="E21" s="15">
        <f t="shared" si="4"/>
        <v>1.5566502463054188</v>
      </c>
      <c r="F21" s="15">
        <f t="shared" si="5"/>
        <v>1.5663060478480795</v>
      </c>
      <c r="G21" s="5"/>
      <c r="H21" s="5"/>
      <c r="I21" s="5"/>
      <c r="J21" s="29"/>
    </row>
    <row r="22" spans="1:10" x14ac:dyDescent="0.25">
      <c r="A22" s="4">
        <v>25</v>
      </c>
      <c r="B22" s="3">
        <f t="shared" si="6"/>
        <v>43913</v>
      </c>
      <c r="C22" s="8">
        <v>367</v>
      </c>
      <c r="D22" s="9">
        <f t="shared" si="3"/>
        <v>51</v>
      </c>
      <c r="E22" s="15">
        <f t="shared" si="4"/>
        <v>1.1613924050632911</v>
      </c>
      <c r="F22" s="15">
        <f t="shared" si="5"/>
        <v>4.6327287392870646</v>
      </c>
      <c r="G22" s="5"/>
      <c r="H22" s="5"/>
      <c r="I22" s="5"/>
      <c r="J22" s="29"/>
    </row>
    <row r="23" spans="1:10" x14ac:dyDescent="0.25">
      <c r="A23" s="4">
        <v>26</v>
      </c>
      <c r="B23" s="3">
        <f t="shared" si="6"/>
        <v>43914</v>
      </c>
      <c r="C23" s="8">
        <v>405</v>
      </c>
      <c r="D23" s="9">
        <f t="shared" si="3"/>
        <v>38</v>
      </c>
      <c r="E23" s="15">
        <f t="shared" si="4"/>
        <v>1.103542234332425</v>
      </c>
      <c r="F23" s="15">
        <f t="shared" si="5"/>
        <v>7.0352259779735453</v>
      </c>
      <c r="G23" s="5"/>
      <c r="H23" s="5"/>
      <c r="I23" s="5"/>
      <c r="J23" s="29"/>
    </row>
    <row r="24" spans="1:10" x14ac:dyDescent="0.25">
      <c r="A24" s="4">
        <v>27</v>
      </c>
      <c r="B24" s="3">
        <f t="shared" si="6"/>
        <v>43915</v>
      </c>
      <c r="C24" s="8">
        <v>475</v>
      </c>
      <c r="D24" s="9">
        <f t="shared" si="3"/>
        <v>70</v>
      </c>
      <c r="E24" s="15">
        <f t="shared" si="4"/>
        <v>1.1728395061728396</v>
      </c>
      <c r="F24" s="15">
        <f t="shared" si="5"/>
        <v>4.3477201264704455</v>
      </c>
      <c r="G24" s="5"/>
      <c r="H24" s="5"/>
      <c r="I24" s="5"/>
      <c r="J24" s="29"/>
    </row>
    <row r="25" spans="1:10" x14ac:dyDescent="0.25">
      <c r="A25" s="4">
        <v>28</v>
      </c>
      <c r="B25" s="3">
        <f t="shared" si="6"/>
        <v>43916</v>
      </c>
      <c r="C25" s="8">
        <v>585</v>
      </c>
      <c r="D25" s="9">
        <f t="shared" si="3"/>
        <v>110</v>
      </c>
      <c r="E25" s="15">
        <f t="shared" si="4"/>
        <v>1.2315789473684211</v>
      </c>
      <c r="F25" s="15">
        <f t="shared" si="5"/>
        <v>3.3276861251634502</v>
      </c>
      <c r="G25" s="5"/>
      <c r="H25" s="5"/>
      <c r="I25" s="5"/>
      <c r="J25" s="29"/>
    </row>
    <row r="26" spans="1:10" x14ac:dyDescent="0.25">
      <c r="A26" s="4">
        <v>29</v>
      </c>
      <c r="B26" s="3">
        <f t="shared" si="6"/>
        <v>43917</v>
      </c>
      <c r="C26" s="8">
        <v>717</v>
      </c>
      <c r="D26" s="9">
        <f t="shared" si="3"/>
        <v>132</v>
      </c>
      <c r="E26" s="15">
        <f t="shared" si="4"/>
        <v>1.2256410256410257</v>
      </c>
      <c r="F26" s="15">
        <f t="shared" si="5"/>
        <v>3.40673142744757</v>
      </c>
      <c r="G26" s="5"/>
      <c r="H26" s="5"/>
      <c r="I26" s="5"/>
      <c r="J26" s="29"/>
    </row>
    <row r="27" spans="1:10" x14ac:dyDescent="0.25">
      <c r="A27" s="4">
        <v>30</v>
      </c>
      <c r="B27" s="3">
        <f t="shared" si="6"/>
        <v>43918</v>
      </c>
      <c r="C27" s="8">
        <v>848</v>
      </c>
      <c r="D27" s="9">
        <f t="shared" si="3"/>
        <v>131</v>
      </c>
      <c r="E27" s="15">
        <f t="shared" si="4"/>
        <v>1.1827057182705718</v>
      </c>
      <c r="F27" s="15">
        <f t="shared" si="5"/>
        <v>4.1306756446720598</v>
      </c>
      <c r="G27" s="5"/>
      <c r="H27" s="5"/>
      <c r="I27" s="5"/>
      <c r="J27" s="29"/>
    </row>
    <row r="28" spans="1:10" x14ac:dyDescent="0.25">
      <c r="A28" s="4">
        <v>31</v>
      </c>
      <c r="B28" s="3">
        <f t="shared" si="6"/>
        <v>43919</v>
      </c>
      <c r="C28" s="8">
        <v>993</v>
      </c>
      <c r="D28" s="9">
        <f t="shared" si="3"/>
        <v>145</v>
      </c>
      <c r="E28" s="15">
        <f t="shared" si="4"/>
        <v>1.1709905660377358</v>
      </c>
      <c r="F28" s="15">
        <f t="shared" si="5"/>
        <v>4.3911755241994292</v>
      </c>
      <c r="G28" s="5"/>
      <c r="H28" s="5"/>
      <c r="I28" s="5"/>
      <c r="J28" s="29"/>
    </row>
    <row r="29" spans="1:10" x14ac:dyDescent="0.25">
      <c r="A29" s="4">
        <v>32</v>
      </c>
      <c r="B29" s="3">
        <f t="shared" si="6"/>
        <v>43920</v>
      </c>
      <c r="C29" s="8">
        <v>1094</v>
      </c>
      <c r="D29" s="9">
        <f t="shared" si="3"/>
        <v>101</v>
      </c>
      <c r="E29" s="15">
        <f t="shared" si="4"/>
        <v>1.1017119838872105</v>
      </c>
      <c r="F29" s="15">
        <f t="shared" si="5"/>
        <v>7.1557827731153241</v>
      </c>
      <c r="G29" s="5"/>
      <c r="H29" s="5"/>
      <c r="I29" s="5"/>
      <c r="J29" s="29"/>
    </row>
    <row r="30" spans="1:10" x14ac:dyDescent="0.25">
      <c r="A30" s="4">
        <v>33</v>
      </c>
      <c r="B30" s="3">
        <f t="shared" si="6"/>
        <v>43921</v>
      </c>
      <c r="C30" s="8">
        <v>1215</v>
      </c>
      <c r="D30" s="9">
        <f t="shared" si="3"/>
        <v>121</v>
      </c>
      <c r="E30" s="15">
        <f t="shared" si="4"/>
        <v>1.1106032906764167</v>
      </c>
      <c r="F30" s="15">
        <f t="shared" si="5"/>
        <v>6.6074823154592899</v>
      </c>
      <c r="G30" s="5"/>
      <c r="H30" s="5"/>
      <c r="I30" s="5"/>
      <c r="J30" s="29"/>
    </row>
    <row r="31" spans="1:10" x14ac:dyDescent="0.25">
      <c r="A31" s="4">
        <v>34</v>
      </c>
      <c r="B31" s="3">
        <f t="shared" si="6"/>
        <v>43922</v>
      </c>
      <c r="C31" s="8">
        <v>1378</v>
      </c>
      <c r="D31" s="9">
        <f t="shared" si="3"/>
        <v>163</v>
      </c>
      <c r="E31" s="15">
        <f t="shared" si="4"/>
        <v>1.1341563786008231</v>
      </c>
      <c r="F31" s="15">
        <f>IFERROR(LOG(2)/LOG(E31),F30)</f>
        <v>5.5060144499480836</v>
      </c>
      <c r="G31" s="6">
        <f>+C31</f>
        <v>1378</v>
      </c>
      <c r="H31" s="6">
        <f>+C31</f>
        <v>1378</v>
      </c>
      <c r="I31" s="6">
        <f>+C31</f>
        <v>1378</v>
      </c>
      <c r="J31">
        <f>LOG(2)/LOG(I31/C30)</f>
        <v>5.5060144499480836</v>
      </c>
    </row>
    <row r="32" spans="1:10" x14ac:dyDescent="0.25">
      <c r="A32" s="4">
        <v>35</v>
      </c>
      <c r="B32" s="3">
        <f t="shared" si="6"/>
        <v>43923</v>
      </c>
      <c r="C32" s="8">
        <v>1510</v>
      </c>
      <c r="D32" s="10"/>
      <c r="E32" s="10"/>
      <c r="F32" s="10"/>
      <c r="G32" s="7">
        <f t="shared" ref="G32:G38" si="7">+H32-_xlfn.FORECAST.ETS.CONFINT(B32,$C$3:$C$31,$B$3:$B$31)</f>
        <v>1466.0206324284015</v>
      </c>
      <c r="H32" s="7">
        <f t="shared" ref="H32:H38" si="8">+_xlfn.FORECAST.ETS(B32,$C$3:$C$31,$B$3:$B$31)</f>
        <v>1514.5821511496956</v>
      </c>
      <c r="I32" s="7">
        <f t="shared" ref="I32:I38" si="9">+H32+_xlfn.FORECAST.ETS.CONFINT(B32,$C$3:$C$31,$B$3:$B$31)</f>
        <v>1563.1436698709897</v>
      </c>
      <c r="J32">
        <f>LOG(2)/LOG(I32/I31)</f>
        <v>5.4982970318052526</v>
      </c>
    </row>
    <row r="33" spans="1:10" x14ac:dyDescent="0.25">
      <c r="A33" s="4">
        <v>36</v>
      </c>
      <c r="B33" s="3">
        <f t="shared" si="6"/>
        <v>43924</v>
      </c>
      <c r="C33" s="8">
        <v>1688</v>
      </c>
      <c r="D33" s="10"/>
      <c r="E33" s="10"/>
      <c r="F33" s="10"/>
      <c r="G33" s="7">
        <f t="shared" si="7"/>
        <v>1576.4626860034293</v>
      </c>
      <c r="H33" s="7">
        <f t="shared" si="8"/>
        <v>1663.9678074055792</v>
      </c>
      <c r="I33" s="7">
        <f t="shared" si="9"/>
        <v>1751.472928807729</v>
      </c>
      <c r="J33">
        <f t="shared" ref="J33:J38" si="10">LOG(2)/LOG(I33/I32)</f>
        <v>6.0931655034778567</v>
      </c>
    </row>
    <row r="34" spans="1:10" x14ac:dyDescent="0.25">
      <c r="A34" s="4">
        <v>37</v>
      </c>
      <c r="B34" s="3">
        <f t="shared" si="6"/>
        <v>43925</v>
      </c>
      <c r="C34" s="8">
        <v>1890</v>
      </c>
      <c r="D34" s="10"/>
      <c r="E34" s="10"/>
      <c r="F34" s="10"/>
      <c r="G34" s="7">
        <f t="shared" si="7"/>
        <v>1673.4448290603054</v>
      </c>
      <c r="H34" s="7">
        <f t="shared" si="8"/>
        <v>1813.3534636614627</v>
      </c>
      <c r="I34" s="7">
        <f t="shared" si="9"/>
        <v>1953.2620982626199</v>
      </c>
      <c r="J34">
        <f t="shared" si="10"/>
        <v>6.3565977435378143</v>
      </c>
    </row>
    <row r="35" spans="1:10" x14ac:dyDescent="0.25">
      <c r="A35" s="4">
        <v>38</v>
      </c>
      <c r="B35" s="3">
        <f t="shared" si="6"/>
        <v>43926</v>
      </c>
      <c r="C35" s="8">
        <v>2143</v>
      </c>
      <c r="D35" s="10"/>
      <c r="E35" s="10"/>
      <c r="F35" s="10"/>
      <c r="G35" s="7">
        <f t="shared" si="7"/>
        <v>1760.8579935463849</v>
      </c>
      <c r="H35" s="7">
        <f t="shared" si="8"/>
        <v>1962.7391199173462</v>
      </c>
      <c r="I35" s="7">
        <f t="shared" si="9"/>
        <v>2164.6202462883075</v>
      </c>
      <c r="J35">
        <f t="shared" si="10"/>
        <v>6.7463457102204547</v>
      </c>
    </row>
    <row r="36" spans="1:10" x14ac:dyDescent="0.25">
      <c r="A36" s="4">
        <v>39</v>
      </c>
      <c r="B36" s="3">
        <f t="shared" si="6"/>
        <v>43927</v>
      </c>
      <c r="C36" s="8">
        <v>2439</v>
      </c>
      <c r="D36" s="10"/>
      <c r="E36" s="10"/>
      <c r="F36" s="10"/>
      <c r="G36" s="7">
        <f t="shared" si="7"/>
        <v>1840.3753244546056</v>
      </c>
      <c r="H36" s="7">
        <f t="shared" si="8"/>
        <v>2112.1247761732297</v>
      </c>
      <c r="I36" s="7">
        <f t="shared" si="9"/>
        <v>2383.8742278918539</v>
      </c>
      <c r="J36">
        <f t="shared" si="10"/>
        <v>7.1842086108525809</v>
      </c>
    </row>
    <row r="37" spans="1:10" x14ac:dyDescent="0.25">
      <c r="A37" s="4">
        <v>40</v>
      </c>
      <c r="B37" s="3">
        <f t="shared" si="6"/>
        <v>43928</v>
      </c>
      <c r="C37" s="4"/>
      <c r="D37" s="10"/>
      <c r="E37" s="10"/>
      <c r="F37" s="10"/>
      <c r="G37" s="7">
        <f t="shared" si="7"/>
        <v>1912.9481269500516</v>
      </c>
      <c r="H37" s="7">
        <f t="shared" si="8"/>
        <v>2261.5104324291133</v>
      </c>
      <c r="I37" s="7">
        <f t="shared" si="9"/>
        <v>2610.072737908175</v>
      </c>
      <c r="J37">
        <f t="shared" si="10"/>
        <v>7.6463185727211247</v>
      </c>
    </row>
    <row r="38" spans="1:10" x14ac:dyDescent="0.25">
      <c r="A38" s="4">
        <v>41</v>
      </c>
      <c r="B38" s="3">
        <f t="shared" si="6"/>
        <v>43929</v>
      </c>
      <c r="C38" s="4"/>
      <c r="D38" s="10"/>
      <c r="E38" s="10"/>
      <c r="F38" s="10"/>
      <c r="G38" s="7">
        <f t="shared" si="7"/>
        <v>1979.2183537361705</v>
      </c>
      <c r="H38" s="7">
        <f t="shared" si="8"/>
        <v>2410.8960886849973</v>
      </c>
      <c r="I38" s="7">
        <f t="shared" si="9"/>
        <v>2842.5738236338238</v>
      </c>
      <c r="J38">
        <f t="shared" si="10"/>
        <v>8.1229618349837214</v>
      </c>
    </row>
    <row r="39" spans="1:10" x14ac:dyDescent="0.25">
      <c r="B39" s="1"/>
    </row>
  </sheetData>
  <mergeCells count="1">
    <mergeCell ref="G1:J1"/>
  </mergeCells>
  <phoneticPr fontId="24" type="noConversion"/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6380-E077-40A1-93F6-B51F92C866C1}">
  <dimension ref="A1:AM39"/>
  <sheetViews>
    <sheetView showGridLines="0" topLeftCell="H1" zoomScale="85" zoomScaleNormal="85" workbookViewId="0">
      <selection activeCell="C34" sqref="C34:C36"/>
    </sheetView>
  </sheetViews>
  <sheetFormatPr baseColWidth="10" defaultRowHeight="15" x14ac:dyDescent="0.25"/>
  <cols>
    <col min="3" max="3" width="15.42578125" customWidth="1"/>
    <col min="4" max="4" width="14.28515625" customWidth="1"/>
    <col min="6" max="6" width="13" customWidth="1"/>
    <col min="7" max="7" width="11.85546875" bestFit="1" customWidth="1"/>
    <col min="8" max="8" width="13.5703125" customWidth="1"/>
  </cols>
  <sheetData>
    <row r="1" spans="1:39" x14ac:dyDescent="0.25">
      <c r="A1" s="23" t="s">
        <v>9</v>
      </c>
      <c r="B1" s="24"/>
      <c r="C1" s="24"/>
      <c r="D1" s="24"/>
      <c r="E1" s="24"/>
      <c r="F1" s="24"/>
      <c r="G1" s="30" t="s">
        <v>0</v>
      </c>
      <c r="H1" s="30"/>
      <c r="I1" s="30"/>
      <c r="J1" s="30"/>
      <c r="X1" s="22" t="s">
        <v>10</v>
      </c>
      <c r="AM1">
        <v>0</v>
      </c>
    </row>
    <row r="2" spans="1:39" ht="47.25" x14ac:dyDescent="0.25">
      <c r="A2" s="12" t="s">
        <v>5</v>
      </c>
      <c r="B2" s="12" t="s">
        <v>4</v>
      </c>
      <c r="C2" s="12" t="s">
        <v>6</v>
      </c>
      <c r="D2" s="13" t="s">
        <v>8</v>
      </c>
      <c r="E2" s="11" t="s">
        <v>7</v>
      </c>
      <c r="F2" s="11" t="s">
        <v>14</v>
      </c>
      <c r="G2" s="14" t="s">
        <v>1</v>
      </c>
      <c r="H2" s="14" t="s">
        <v>2</v>
      </c>
      <c r="I2" s="14" t="s">
        <v>3</v>
      </c>
      <c r="J2" s="14"/>
      <c r="W2" s="16" t="s">
        <v>15</v>
      </c>
      <c r="X2" s="16" t="s">
        <v>4</v>
      </c>
      <c r="Y2" s="16" t="s">
        <v>11</v>
      </c>
      <c r="Z2" s="16" t="s">
        <v>12</v>
      </c>
      <c r="AA2" s="16" t="s">
        <v>13</v>
      </c>
      <c r="AB2" s="17" t="s">
        <v>14</v>
      </c>
    </row>
    <row r="3" spans="1:39" x14ac:dyDescent="0.25">
      <c r="A3" s="2">
        <f t="shared" ref="A3:A19" si="0">+B3+1-$B$3</f>
        <v>1</v>
      </c>
      <c r="B3" s="3">
        <v>43889</v>
      </c>
      <c r="C3" s="8">
        <v>1</v>
      </c>
      <c r="D3" s="9">
        <f>+C3</f>
        <v>1</v>
      </c>
      <c r="E3" s="9"/>
      <c r="F3" s="9"/>
      <c r="G3" s="5"/>
      <c r="H3" s="5"/>
      <c r="I3" s="5"/>
      <c r="J3" s="29"/>
      <c r="W3" s="28" t="s">
        <v>16</v>
      </c>
      <c r="X3" s="18">
        <f>+B32</f>
        <v>43923</v>
      </c>
      <c r="Y3" s="19">
        <f>+VLOOKUP(X3,$B$3:$C$38,2,)</f>
        <v>1510</v>
      </c>
      <c r="Z3" s="20">
        <f>+Y3-Y4</f>
        <v>1035</v>
      </c>
      <c r="AA3" s="21">
        <f>+IFERROR(Y3/Y4,0)</f>
        <v>3.1789473684210527</v>
      </c>
      <c r="AB3" s="21">
        <f>7*LOG(2)/LOG(AA3)</f>
        <v>4.1952615418818144</v>
      </c>
    </row>
    <row r="4" spans="1:39" x14ac:dyDescent="0.25">
      <c r="A4" s="2">
        <f t="shared" si="0"/>
        <v>2</v>
      </c>
      <c r="B4" s="3">
        <v>43890</v>
      </c>
      <c r="C4" s="8">
        <v>4</v>
      </c>
      <c r="D4" s="9">
        <f>+C4-C3</f>
        <v>3</v>
      </c>
      <c r="E4" s="15">
        <f>+C4/C3</f>
        <v>4</v>
      </c>
      <c r="F4" s="15">
        <f>IFERROR(LOG(2)/LOG(E4),F3)</f>
        <v>0.5</v>
      </c>
      <c r="G4" s="5"/>
      <c r="H4" s="5"/>
      <c r="I4" s="5"/>
      <c r="J4" s="29"/>
      <c r="W4" s="5" t="s">
        <v>17</v>
      </c>
      <c r="X4" s="25">
        <f>+X3-8</f>
        <v>43915</v>
      </c>
      <c r="Y4" s="6">
        <f t="shared" ref="Y4:Y7" si="1">+VLOOKUP(X4,$B$3:$C$38,2,)</f>
        <v>475</v>
      </c>
      <c r="Z4" s="26">
        <f>+Y4-Y5</f>
        <v>393</v>
      </c>
      <c r="AA4" s="27">
        <f>+IFERROR(Y4/Y5,0)</f>
        <v>5.7926829268292686</v>
      </c>
      <c r="AB4" s="27">
        <f t="shared" ref="AB4:AB5" si="2">7*LOG(2)/LOG(AA4)</f>
        <v>2.7621783769283699</v>
      </c>
    </row>
    <row r="5" spans="1:39" x14ac:dyDescent="0.25">
      <c r="A5" s="2">
        <f t="shared" si="0"/>
        <v>3</v>
      </c>
      <c r="B5" s="3">
        <v>43891</v>
      </c>
      <c r="C5" s="8">
        <v>5</v>
      </c>
      <c r="D5" s="9">
        <f t="shared" ref="D5:D32" si="3">+C5-C4</f>
        <v>1</v>
      </c>
      <c r="E5" s="15">
        <f t="shared" ref="E5:E32" si="4">+C5/C4</f>
        <v>1.25</v>
      </c>
      <c r="F5" s="15">
        <f t="shared" ref="F5:F30" si="5">IFERROR(LOG(2)/LOG(E5),F4)</f>
        <v>3.1062837195053898</v>
      </c>
      <c r="G5" s="5"/>
      <c r="H5" s="5"/>
      <c r="I5" s="5"/>
      <c r="J5" s="29"/>
      <c r="W5" s="28" t="s">
        <v>18</v>
      </c>
      <c r="X5" s="25">
        <f>+X4-8</f>
        <v>43907</v>
      </c>
      <c r="Y5" s="6">
        <f t="shared" si="1"/>
        <v>82</v>
      </c>
      <c r="Z5" s="26">
        <f>+Y5-Y6</f>
        <v>75</v>
      </c>
      <c r="AA5" s="27">
        <f>+IFERROR(Y5/Y6,0)</f>
        <v>11.714285714285714</v>
      </c>
      <c r="AB5" s="27">
        <f t="shared" si="2"/>
        <v>1.9717215234010186</v>
      </c>
    </row>
    <row r="6" spans="1:39" x14ac:dyDescent="0.25">
      <c r="A6" s="2">
        <f t="shared" si="0"/>
        <v>5</v>
      </c>
      <c r="B6" s="3">
        <v>43893</v>
      </c>
      <c r="C6" s="8">
        <v>5</v>
      </c>
      <c r="D6" s="9">
        <f t="shared" si="3"/>
        <v>0</v>
      </c>
      <c r="E6" s="15">
        <f t="shared" si="4"/>
        <v>1</v>
      </c>
      <c r="F6" s="15">
        <f t="shared" si="5"/>
        <v>3.1062837195053898</v>
      </c>
      <c r="G6" s="5"/>
      <c r="H6" s="5"/>
      <c r="I6" s="5"/>
      <c r="J6" s="29"/>
      <c r="W6" s="5" t="s">
        <v>19</v>
      </c>
      <c r="X6" s="25">
        <f>+X5-8</f>
        <v>43899</v>
      </c>
      <c r="Y6" s="6">
        <v>7</v>
      </c>
      <c r="Z6" s="26">
        <f>+Y6-Y7</f>
        <v>2</v>
      </c>
      <c r="AA6" s="27">
        <f>+IFERROR(Y6/Y7,0)</f>
        <v>1.4</v>
      </c>
      <c r="AB6" s="27">
        <f>7*LOG(2)/LOG(AA6)</f>
        <v>14.420299019743018</v>
      </c>
    </row>
    <row r="7" spans="1:39" x14ac:dyDescent="0.25">
      <c r="A7" s="2">
        <f t="shared" si="0"/>
        <v>8</v>
      </c>
      <c r="B7" s="3">
        <v>43896</v>
      </c>
      <c r="C7" s="8">
        <v>6</v>
      </c>
      <c r="D7" s="9">
        <f t="shared" si="3"/>
        <v>1</v>
      </c>
      <c r="E7" s="15">
        <f t="shared" si="4"/>
        <v>1.2</v>
      </c>
      <c r="F7" s="15">
        <f t="shared" si="5"/>
        <v>3.8017840169239308</v>
      </c>
      <c r="G7" s="5"/>
      <c r="H7" s="5"/>
      <c r="I7" s="5"/>
      <c r="J7" s="29"/>
      <c r="W7" s="28" t="s">
        <v>20</v>
      </c>
      <c r="X7" s="25">
        <f>+X6-8</f>
        <v>43891</v>
      </c>
      <c r="Y7" s="6">
        <f t="shared" si="1"/>
        <v>5</v>
      </c>
      <c r="Z7" s="26">
        <f>+Y7-X8</f>
        <v>5</v>
      </c>
      <c r="AA7" s="27">
        <f>+IFERROR(Y7/X8,0)</f>
        <v>0</v>
      </c>
      <c r="AB7" s="27">
        <v>0</v>
      </c>
    </row>
    <row r="8" spans="1:39" x14ac:dyDescent="0.25">
      <c r="A8" s="2">
        <f t="shared" si="0"/>
        <v>10</v>
      </c>
      <c r="B8" s="3">
        <v>43898</v>
      </c>
      <c r="C8" s="8">
        <v>7</v>
      </c>
      <c r="D8" s="9">
        <f t="shared" si="3"/>
        <v>1</v>
      </c>
      <c r="E8" s="15">
        <f t="shared" si="4"/>
        <v>1.1666666666666667</v>
      </c>
      <c r="F8" s="15">
        <f t="shared" si="5"/>
        <v>4.4965561056019201</v>
      </c>
      <c r="G8" s="5"/>
      <c r="H8" s="5"/>
      <c r="I8" s="5"/>
      <c r="J8" s="29"/>
      <c r="W8" s="1"/>
    </row>
    <row r="9" spans="1:39" x14ac:dyDescent="0.25">
      <c r="A9" s="2">
        <f t="shared" si="0"/>
        <v>12</v>
      </c>
      <c r="B9" s="3">
        <v>43900</v>
      </c>
      <c r="C9" s="8">
        <v>7</v>
      </c>
      <c r="D9" s="9">
        <f t="shared" si="3"/>
        <v>0</v>
      </c>
      <c r="E9" s="15">
        <f t="shared" si="4"/>
        <v>1</v>
      </c>
      <c r="F9" s="15">
        <f t="shared" si="5"/>
        <v>4.4965561056019201</v>
      </c>
      <c r="G9" s="5"/>
      <c r="H9" s="5"/>
      <c r="I9" s="5"/>
      <c r="J9" s="29"/>
      <c r="W9" s="1"/>
    </row>
    <row r="10" spans="1:39" x14ac:dyDescent="0.25">
      <c r="A10" s="2">
        <f t="shared" si="0"/>
        <v>13</v>
      </c>
      <c r="B10" s="3">
        <v>43901</v>
      </c>
      <c r="C10" s="8">
        <v>8</v>
      </c>
      <c r="D10" s="9">
        <f t="shared" si="3"/>
        <v>1</v>
      </c>
      <c r="E10" s="15">
        <f t="shared" si="4"/>
        <v>1.1428571428571428</v>
      </c>
      <c r="F10" s="15">
        <f t="shared" si="5"/>
        <v>5.1908930696844333</v>
      </c>
      <c r="G10" s="5"/>
      <c r="H10" s="5"/>
      <c r="I10" s="5"/>
      <c r="J10" s="29"/>
      <c r="W10" s="1"/>
    </row>
    <row r="11" spans="1:39" x14ac:dyDescent="0.25">
      <c r="A11" s="2">
        <f t="shared" si="0"/>
        <v>14</v>
      </c>
      <c r="B11" s="3">
        <v>43902</v>
      </c>
      <c r="C11" s="8">
        <v>12</v>
      </c>
      <c r="D11" s="9">
        <f t="shared" si="3"/>
        <v>4</v>
      </c>
      <c r="E11" s="15">
        <f t="shared" si="4"/>
        <v>1.5</v>
      </c>
      <c r="F11" s="15">
        <f t="shared" si="5"/>
        <v>1.7095112913514547</v>
      </c>
      <c r="G11" s="5"/>
      <c r="H11" s="5"/>
      <c r="I11" s="5"/>
      <c r="J11" s="29"/>
      <c r="W11" s="1"/>
    </row>
    <row r="12" spans="1:39" x14ac:dyDescent="0.25">
      <c r="A12" s="2">
        <f t="shared" si="0"/>
        <v>15</v>
      </c>
      <c r="B12" s="3">
        <v>43903</v>
      </c>
      <c r="C12" s="8">
        <v>12</v>
      </c>
      <c r="D12" s="9">
        <f t="shared" si="3"/>
        <v>0</v>
      </c>
      <c r="E12" s="15">
        <f t="shared" si="4"/>
        <v>1</v>
      </c>
      <c r="F12" s="15">
        <f t="shared" si="5"/>
        <v>1.7095112913514547</v>
      </c>
      <c r="G12" s="5"/>
      <c r="H12" s="5"/>
      <c r="I12" s="5"/>
      <c r="J12" s="29"/>
    </row>
    <row r="13" spans="1:39" x14ac:dyDescent="0.25">
      <c r="A13" s="2">
        <f t="shared" si="0"/>
        <v>16</v>
      </c>
      <c r="B13" s="3">
        <v>43904</v>
      </c>
      <c r="C13" s="8">
        <v>26</v>
      </c>
      <c r="D13" s="9">
        <f t="shared" si="3"/>
        <v>14</v>
      </c>
      <c r="E13" s="15">
        <f t="shared" si="4"/>
        <v>2.1666666666666665</v>
      </c>
      <c r="F13" s="15">
        <f t="shared" si="5"/>
        <v>0.89647729633866391</v>
      </c>
      <c r="G13" s="5"/>
      <c r="H13" s="5"/>
      <c r="I13" s="5"/>
      <c r="J13" s="29"/>
    </row>
    <row r="14" spans="1:39" x14ac:dyDescent="0.25">
      <c r="A14" s="2">
        <f t="shared" si="0"/>
        <v>17</v>
      </c>
      <c r="B14" s="3">
        <v>43905</v>
      </c>
      <c r="C14" s="8">
        <v>41</v>
      </c>
      <c r="D14" s="9">
        <f t="shared" si="3"/>
        <v>15</v>
      </c>
      <c r="E14" s="15">
        <f t="shared" si="4"/>
        <v>1.5769230769230769</v>
      </c>
      <c r="F14" s="15">
        <f t="shared" si="5"/>
        <v>1.5218099259128899</v>
      </c>
      <c r="G14" s="5"/>
      <c r="H14" s="5"/>
      <c r="I14" s="5"/>
      <c r="J14" s="29"/>
    </row>
    <row r="15" spans="1:39" x14ac:dyDescent="0.25">
      <c r="A15" s="2">
        <f t="shared" si="0"/>
        <v>18</v>
      </c>
      <c r="B15" s="3">
        <v>43906</v>
      </c>
      <c r="C15" s="8">
        <v>53</v>
      </c>
      <c r="D15" s="9">
        <f t="shared" si="3"/>
        <v>12</v>
      </c>
      <c r="E15" s="15">
        <f t="shared" si="4"/>
        <v>1.2926829268292683</v>
      </c>
      <c r="F15" s="15">
        <f t="shared" si="5"/>
        <v>2.7000139999726995</v>
      </c>
      <c r="G15" s="5"/>
      <c r="H15" s="5"/>
      <c r="I15" s="5"/>
      <c r="J15" s="29"/>
    </row>
    <row r="16" spans="1:39" x14ac:dyDescent="0.25">
      <c r="A16" s="2">
        <f t="shared" si="0"/>
        <v>19</v>
      </c>
      <c r="B16" s="3">
        <v>43907</v>
      </c>
      <c r="C16" s="8">
        <v>82</v>
      </c>
      <c r="D16" s="9">
        <f t="shared" si="3"/>
        <v>29</v>
      </c>
      <c r="E16" s="15">
        <f t="shared" si="4"/>
        <v>1.5471698113207548</v>
      </c>
      <c r="F16" s="15">
        <f t="shared" si="5"/>
        <v>1.5882304498763296</v>
      </c>
      <c r="G16" s="5"/>
      <c r="H16" s="5"/>
      <c r="I16" s="5"/>
      <c r="J16" s="29"/>
    </row>
    <row r="17" spans="1:10" x14ac:dyDescent="0.25">
      <c r="A17" s="2">
        <f t="shared" si="0"/>
        <v>20</v>
      </c>
      <c r="B17" s="3">
        <v>43908</v>
      </c>
      <c r="C17" s="8">
        <v>93</v>
      </c>
      <c r="D17" s="9">
        <f t="shared" si="3"/>
        <v>11</v>
      </c>
      <c r="E17" s="15">
        <f t="shared" si="4"/>
        <v>1.1341463414634145</v>
      </c>
      <c r="F17" s="15">
        <f t="shared" si="5"/>
        <v>5.5064015458878339</v>
      </c>
      <c r="G17" s="5"/>
      <c r="H17" s="5"/>
      <c r="I17" s="5"/>
      <c r="J17" s="29"/>
    </row>
    <row r="18" spans="1:10" x14ac:dyDescent="0.25">
      <c r="A18" s="2">
        <f t="shared" si="0"/>
        <v>21</v>
      </c>
      <c r="B18" s="3">
        <v>43909</v>
      </c>
      <c r="C18" s="8">
        <v>118</v>
      </c>
      <c r="D18" s="9">
        <f t="shared" si="3"/>
        <v>25</v>
      </c>
      <c r="E18" s="15">
        <f t="shared" si="4"/>
        <v>1.2688172043010753</v>
      </c>
      <c r="F18" s="15">
        <f t="shared" si="5"/>
        <v>2.9113417404063613</v>
      </c>
      <c r="G18" s="5"/>
      <c r="H18" s="5"/>
      <c r="I18" s="5"/>
      <c r="J18" s="29"/>
    </row>
    <row r="19" spans="1:10" x14ac:dyDescent="0.25">
      <c r="A19" s="2">
        <f t="shared" si="0"/>
        <v>22</v>
      </c>
      <c r="B19" s="3">
        <v>43910</v>
      </c>
      <c r="C19" s="8">
        <v>164</v>
      </c>
      <c r="D19" s="9">
        <f t="shared" si="3"/>
        <v>46</v>
      </c>
      <c r="E19" s="15">
        <f t="shared" si="4"/>
        <v>1.3898305084745763</v>
      </c>
      <c r="F19" s="15">
        <f t="shared" si="5"/>
        <v>2.1056667576639794</v>
      </c>
      <c r="G19" s="5"/>
      <c r="H19" s="5"/>
      <c r="I19" s="5"/>
      <c r="J19" s="29"/>
    </row>
    <row r="20" spans="1:10" x14ac:dyDescent="0.25">
      <c r="A20" s="4">
        <v>23</v>
      </c>
      <c r="B20" s="3">
        <v>43911</v>
      </c>
      <c r="C20" s="8">
        <v>203</v>
      </c>
      <c r="D20" s="9">
        <f t="shared" si="3"/>
        <v>39</v>
      </c>
      <c r="E20" s="15">
        <f t="shared" si="4"/>
        <v>1.2378048780487805</v>
      </c>
      <c r="F20" s="15">
        <f t="shared" si="5"/>
        <v>3.2490327114872004</v>
      </c>
      <c r="G20" s="5"/>
      <c r="H20" s="5"/>
      <c r="I20" s="5"/>
      <c r="J20" s="29"/>
    </row>
    <row r="21" spans="1:10" x14ac:dyDescent="0.25">
      <c r="A21" s="4">
        <v>24</v>
      </c>
      <c r="B21" s="3">
        <f t="shared" ref="B21:B39" si="6">+$B$3+A21-1</f>
        <v>43912</v>
      </c>
      <c r="C21" s="8">
        <v>316</v>
      </c>
      <c r="D21" s="9">
        <f t="shared" si="3"/>
        <v>113</v>
      </c>
      <c r="E21" s="15">
        <f t="shared" si="4"/>
        <v>1.5566502463054188</v>
      </c>
      <c r="F21" s="15">
        <f t="shared" si="5"/>
        <v>1.5663060478480795</v>
      </c>
      <c r="G21" s="5"/>
      <c r="H21" s="5"/>
      <c r="I21" s="5"/>
      <c r="J21" s="29"/>
    </row>
    <row r="22" spans="1:10" x14ac:dyDescent="0.25">
      <c r="A22" s="4">
        <v>25</v>
      </c>
      <c r="B22" s="3">
        <f t="shared" si="6"/>
        <v>43913</v>
      </c>
      <c r="C22" s="8">
        <v>367</v>
      </c>
      <c r="D22" s="9">
        <f t="shared" si="3"/>
        <v>51</v>
      </c>
      <c r="E22" s="15">
        <f t="shared" si="4"/>
        <v>1.1613924050632911</v>
      </c>
      <c r="F22" s="15">
        <f t="shared" si="5"/>
        <v>4.6327287392870646</v>
      </c>
      <c r="G22" s="5"/>
      <c r="H22" s="5"/>
      <c r="I22" s="5"/>
      <c r="J22" s="29"/>
    </row>
    <row r="23" spans="1:10" x14ac:dyDescent="0.25">
      <c r="A23" s="4">
        <v>26</v>
      </c>
      <c r="B23" s="3">
        <f t="shared" si="6"/>
        <v>43914</v>
      </c>
      <c r="C23" s="8">
        <v>405</v>
      </c>
      <c r="D23" s="9">
        <f t="shared" si="3"/>
        <v>38</v>
      </c>
      <c r="E23" s="15">
        <f t="shared" si="4"/>
        <v>1.103542234332425</v>
      </c>
      <c r="F23" s="15">
        <f t="shared" si="5"/>
        <v>7.0352259779735453</v>
      </c>
      <c r="G23" s="5"/>
      <c r="H23" s="5"/>
      <c r="I23" s="5"/>
      <c r="J23" s="29"/>
    </row>
    <row r="24" spans="1:10" x14ac:dyDescent="0.25">
      <c r="A24" s="4">
        <v>27</v>
      </c>
      <c r="B24" s="3">
        <f t="shared" si="6"/>
        <v>43915</v>
      </c>
      <c r="C24" s="8">
        <v>475</v>
      </c>
      <c r="D24" s="9">
        <f t="shared" si="3"/>
        <v>70</v>
      </c>
      <c r="E24" s="15">
        <f t="shared" si="4"/>
        <v>1.1728395061728396</v>
      </c>
      <c r="F24" s="15">
        <f t="shared" si="5"/>
        <v>4.3477201264704455</v>
      </c>
      <c r="G24" s="5"/>
      <c r="H24" s="5"/>
      <c r="I24" s="5"/>
      <c r="J24" s="29"/>
    </row>
    <row r="25" spans="1:10" x14ac:dyDescent="0.25">
      <c r="A25" s="4">
        <v>28</v>
      </c>
      <c r="B25" s="3">
        <f t="shared" si="6"/>
        <v>43916</v>
      </c>
      <c r="C25" s="8">
        <v>585</v>
      </c>
      <c r="D25" s="9">
        <f t="shared" si="3"/>
        <v>110</v>
      </c>
      <c r="E25" s="15">
        <f t="shared" si="4"/>
        <v>1.2315789473684211</v>
      </c>
      <c r="F25" s="15">
        <f t="shared" si="5"/>
        <v>3.3276861251634502</v>
      </c>
      <c r="G25" s="5"/>
      <c r="H25" s="5"/>
      <c r="I25" s="5"/>
      <c r="J25" s="29"/>
    </row>
    <row r="26" spans="1:10" x14ac:dyDescent="0.25">
      <c r="A26" s="4">
        <v>29</v>
      </c>
      <c r="B26" s="3">
        <f t="shared" si="6"/>
        <v>43917</v>
      </c>
      <c r="C26" s="8">
        <v>717</v>
      </c>
      <c r="D26" s="9">
        <f t="shared" si="3"/>
        <v>132</v>
      </c>
      <c r="E26" s="15">
        <f t="shared" si="4"/>
        <v>1.2256410256410257</v>
      </c>
      <c r="F26" s="15">
        <f t="shared" si="5"/>
        <v>3.40673142744757</v>
      </c>
      <c r="G26" s="5"/>
      <c r="H26" s="5"/>
      <c r="I26" s="5"/>
      <c r="J26" s="29"/>
    </row>
    <row r="27" spans="1:10" x14ac:dyDescent="0.25">
      <c r="A27" s="4">
        <v>30</v>
      </c>
      <c r="B27" s="3">
        <f t="shared" si="6"/>
        <v>43918</v>
      </c>
      <c r="C27" s="8">
        <v>848</v>
      </c>
      <c r="D27" s="9">
        <f t="shared" si="3"/>
        <v>131</v>
      </c>
      <c r="E27" s="15">
        <f t="shared" si="4"/>
        <v>1.1827057182705718</v>
      </c>
      <c r="F27" s="15">
        <f t="shared" si="5"/>
        <v>4.1306756446720598</v>
      </c>
      <c r="G27" s="5"/>
      <c r="H27" s="5"/>
      <c r="I27" s="5"/>
      <c r="J27" s="29"/>
    </row>
    <row r="28" spans="1:10" x14ac:dyDescent="0.25">
      <c r="A28" s="4">
        <v>31</v>
      </c>
      <c r="B28" s="3">
        <f t="shared" si="6"/>
        <v>43919</v>
      </c>
      <c r="C28" s="8">
        <v>993</v>
      </c>
      <c r="D28" s="9">
        <f t="shared" si="3"/>
        <v>145</v>
      </c>
      <c r="E28" s="15">
        <f t="shared" si="4"/>
        <v>1.1709905660377358</v>
      </c>
      <c r="F28" s="15">
        <f t="shared" si="5"/>
        <v>4.3911755241994292</v>
      </c>
      <c r="G28" s="5"/>
      <c r="H28" s="5"/>
      <c r="I28" s="5"/>
      <c r="J28" s="29"/>
    </row>
    <row r="29" spans="1:10" x14ac:dyDescent="0.25">
      <c r="A29" s="4">
        <v>32</v>
      </c>
      <c r="B29" s="3">
        <f t="shared" si="6"/>
        <v>43920</v>
      </c>
      <c r="C29" s="8">
        <v>1094</v>
      </c>
      <c r="D29" s="9">
        <f t="shared" si="3"/>
        <v>101</v>
      </c>
      <c r="E29" s="15">
        <f t="shared" si="4"/>
        <v>1.1017119838872105</v>
      </c>
      <c r="F29" s="15">
        <f t="shared" si="5"/>
        <v>7.1557827731153241</v>
      </c>
      <c r="G29" s="5"/>
      <c r="H29" s="5"/>
      <c r="I29" s="5"/>
      <c r="J29" s="29"/>
    </row>
    <row r="30" spans="1:10" x14ac:dyDescent="0.25">
      <c r="A30" s="4">
        <v>33</v>
      </c>
      <c r="B30" s="3">
        <f t="shared" si="6"/>
        <v>43921</v>
      </c>
      <c r="C30" s="8">
        <v>1215</v>
      </c>
      <c r="D30" s="9">
        <f t="shared" si="3"/>
        <v>121</v>
      </c>
      <c r="E30" s="15">
        <f t="shared" si="4"/>
        <v>1.1106032906764167</v>
      </c>
      <c r="F30" s="15">
        <f t="shared" si="5"/>
        <v>6.6074823154592899</v>
      </c>
      <c r="G30" s="5"/>
      <c r="H30" s="5"/>
      <c r="I30" s="5"/>
      <c r="J30" s="29"/>
    </row>
    <row r="31" spans="1:10" x14ac:dyDescent="0.25">
      <c r="A31" s="4">
        <v>34</v>
      </c>
      <c r="B31" s="3">
        <f t="shared" si="6"/>
        <v>43922</v>
      </c>
      <c r="C31" s="8">
        <v>1378</v>
      </c>
      <c r="D31" s="9">
        <f t="shared" si="3"/>
        <v>163</v>
      </c>
      <c r="E31" s="15">
        <f t="shared" si="4"/>
        <v>1.1341563786008231</v>
      </c>
      <c r="F31" s="15">
        <f>IFERROR(LOG(2)/LOG(E31),F30)</f>
        <v>5.5060144499480836</v>
      </c>
      <c r="G31" s="6"/>
      <c r="H31" s="6"/>
      <c r="I31" s="6"/>
    </row>
    <row r="32" spans="1:10" x14ac:dyDescent="0.25">
      <c r="A32" s="4">
        <v>35</v>
      </c>
      <c r="B32" s="3">
        <f t="shared" si="6"/>
        <v>43923</v>
      </c>
      <c r="C32" s="8">
        <v>1510</v>
      </c>
      <c r="D32" s="9">
        <f t="shared" si="3"/>
        <v>132</v>
      </c>
      <c r="E32" s="15">
        <f t="shared" si="4"/>
        <v>1.0957910014513788</v>
      </c>
      <c r="F32" s="15">
        <f>IFERROR(LOG(2)/LOG(E32),F31)</f>
        <v>7.5773269143188875</v>
      </c>
      <c r="G32" s="7">
        <f>+$C$32</f>
        <v>1510</v>
      </c>
      <c r="H32" s="7">
        <f t="shared" ref="H32:I32" si="7">+$C$32</f>
        <v>1510</v>
      </c>
      <c r="I32" s="7">
        <f t="shared" si="7"/>
        <v>1510</v>
      </c>
      <c r="J32">
        <f>LOG(2)/LOG(I32/C31)</f>
        <v>7.5773269143188875</v>
      </c>
    </row>
    <row r="33" spans="1:10" x14ac:dyDescent="0.25">
      <c r="A33" s="4">
        <v>36</v>
      </c>
      <c r="B33" s="3">
        <f t="shared" si="6"/>
        <v>43924</v>
      </c>
      <c r="C33" s="8">
        <v>1688</v>
      </c>
      <c r="D33" s="10"/>
      <c r="E33" s="10"/>
      <c r="F33" s="10"/>
      <c r="G33" s="7">
        <f>+H33-_xlfn.FORECAST.ETS.CONFINT(B33,$C$3:$C$32,$B$3:$B$32)</f>
        <v>1585.7045934943355</v>
      </c>
      <c r="H33" s="7">
        <f>+_xlfn.FORECAST.ETS(B33,$C$3:$C$32,$B$3:$B$32)</f>
        <v>1641.5244936683318</v>
      </c>
      <c r="I33" s="7">
        <f>+H33+_xlfn.FORECAST.ETS.CONFINT(B33,$C$3:$C$32,$B$3:$B$32)</f>
        <v>1697.3443938423281</v>
      </c>
      <c r="J33">
        <f>LOG(2)/LOG(I33/I32)</f>
        <v>5.9266012908454639</v>
      </c>
    </row>
    <row r="34" spans="1:10" x14ac:dyDescent="0.25">
      <c r="A34" s="4">
        <v>37</v>
      </c>
      <c r="B34" s="3">
        <f t="shared" si="6"/>
        <v>43925</v>
      </c>
      <c r="C34" s="8">
        <v>1890</v>
      </c>
      <c r="D34" s="10"/>
      <c r="E34" s="10"/>
      <c r="F34" s="10"/>
      <c r="G34" s="7">
        <f t="shared" ref="G34:G39" si="8">+H34-_xlfn.FORECAST.ETS.CONFINT(B34,$C$3:$C$32,$B$3:$B$32)</f>
        <v>1701.1024679601244</v>
      </c>
      <c r="H34" s="7">
        <f t="shared" ref="H34:H39" si="9">+_xlfn.FORECAST.ETS(B34,$C$3:$C$32,$B$3:$B$32)</f>
        <v>1780.0042670791572</v>
      </c>
      <c r="I34" s="7">
        <f t="shared" ref="I34:I39" si="10">+H34+_xlfn.FORECAST.ETS.CONFINT(B34,$C$3:$C$32,$B$3:$B$32)</f>
        <v>1858.90606619819</v>
      </c>
      <c r="J34">
        <f t="shared" ref="J34:J37" si="11">LOG(2)/LOG(I34/I33)</f>
        <v>7.6234299729481929</v>
      </c>
    </row>
    <row r="35" spans="1:10" x14ac:dyDescent="0.25">
      <c r="A35" s="4">
        <v>38</v>
      </c>
      <c r="B35" s="3">
        <f t="shared" si="6"/>
        <v>43926</v>
      </c>
      <c r="C35" s="8">
        <v>2143</v>
      </c>
      <c r="D35" s="10"/>
      <c r="E35" s="10"/>
      <c r="F35" s="10"/>
      <c r="G35" s="7">
        <f t="shared" si="8"/>
        <v>1803.5166580510443</v>
      </c>
      <c r="H35" s="7">
        <f t="shared" si="9"/>
        <v>1918.4840404899828</v>
      </c>
      <c r="I35" s="7">
        <f t="shared" si="10"/>
        <v>2033.4514229289214</v>
      </c>
      <c r="J35">
        <f t="shared" si="11"/>
        <v>7.7233999301068064</v>
      </c>
    </row>
    <row r="36" spans="1:10" x14ac:dyDescent="0.25">
      <c r="A36" s="4">
        <v>39</v>
      </c>
      <c r="B36" s="3">
        <f t="shared" si="6"/>
        <v>43927</v>
      </c>
      <c r="C36" s="8">
        <v>2439</v>
      </c>
      <c r="D36" s="10"/>
      <c r="E36" s="10"/>
      <c r="F36" s="10"/>
      <c r="G36" s="7">
        <f t="shared" si="8"/>
        <v>1896.8276788335261</v>
      </c>
      <c r="H36" s="7">
        <f t="shared" si="9"/>
        <v>2056.9638139008084</v>
      </c>
      <c r="I36" s="7">
        <f t="shared" si="10"/>
        <v>2217.0999489680908</v>
      </c>
      <c r="J36">
        <f t="shared" si="11"/>
        <v>8.0164636983949578</v>
      </c>
    </row>
    <row r="37" spans="1:10" x14ac:dyDescent="0.25">
      <c r="A37" s="4">
        <v>40</v>
      </c>
      <c r="B37" s="3">
        <f t="shared" si="6"/>
        <v>43928</v>
      </c>
      <c r="C37" s="8"/>
      <c r="D37" s="10"/>
      <c r="E37" s="10"/>
      <c r="F37" s="10"/>
      <c r="G37" s="7">
        <f t="shared" si="8"/>
        <v>1983.1809028156858</v>
      </c>
      <c r="H37" s="7">
        <f t="shared" si="9"/>
        <v>2195.443587311634</v>
      </c>
      <c r="I37" s="7">
        <f t="shared" si="10"/>
        <v>2407.7062718075822</v>
      </c>
      <c r="J37">
        <f t="shared" si="11"/>
        <v>8.4043789467604082</v>
      </c>
    </row>
    <row r="38" spans="1:10" x14ac:dyDescent="0.25">
      <c r="A38" s="4">
        <v>41</v>
      </c>
      <c r="B38" s="3">
        <f t="shared" si="6"/>
        <v>43929</v>
      </c>
      <c r="C38" s="8"/>
      <c r="D38" s="10"/>
      <c r="E38" s="10"/>
      <c r="F38" s="10"/>
      <c r="G38" s="7">
        <f t="shared" si="8"/>
        <v>2063.7293552611818</v>
      </c>
      <c r="H38" s="7">
        <f t="shared" si="9"/>
        <v>2333.9233607224596</v>
      </c>
      <c r="I38" s="7">
        <f t="shared" si="10"/>
        <v>2604.1173661837374</v>
      </c>
      <c r="J38">
        <f>LOG(2)/LOG(I38/I37)</f>
        <v>8.8389921687924602</v>
      </c>
    </row>
    <row r="39" spans="1:10" x14ac:dyDescent="0.25">
      <c r="A39" s="4">
        <v>42</v>
      </c>
      <c r="B39" s="3">
        <f t="shared" si="6"/>
        <v>43930</v>
      </c>
      <c r="C39" s="4"/>
      <c r="D39" s="10"/>
      <c r="E39" s="10"/>
      <c r="F39" s="10"/>
      <c r="G39" s="7">
        <f t="shared" si="8"/>
        <v>2139.1714625224317</v>
      </c>
      <c r="H39" s="7">
        <f t="shared" si="9"/>
        <v>2472.4031341332848</v>
      </c>
      <c r="I39" s="7">
        <f t="shared" si="10"/>
        <v>2805.6348057441378</v>
      </c>
      <c r="J39">
        <f>LOG(2)/LOG(I39/I38)</f>
        <v>9.2994914486351554</v>
      </c>
    </row>
  </sheetData>
  <mergeCells count="1">
    <mergeCell ref="G1:J1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81EA2-F822-48FC-B244-978CBA586C4B}">
  <dimension ref="A1:AM40"/>
  <sheetViews>
    <sheetView showGridLines="0" topLeftCell="K1" zoomScale="85" zoomScaleNormal="85" workbookViewId="0">
      <selection activeCell="C34" sqref="C34:H34"/>
    </sheetView>
  </sheetViews>
  <sheetFormatPr baseColWidth="10" defaultRowHeight="15" x14ac:dyDescent="0.25"/>
  <cols>
    <col min="3" max="3" width="15.42578125" customWidth="1"/>
    <col min="4" max="4" width="14.28515625" customWidth="1"/>
    <col min="6" max="6" width="13" customWidth="1"/>
    <col min="7" max="7" width="11.85546875" bestFit="1" customWidth="1"/>
    <col min="8" max="8" width="13.5703125" customWidth="1"/>
  </cols>
  <sheetData>
    <row r="1" spans="1:39" x14ac:dyDescent="0.25">
      <c r="A1" s="23" t="s">
        <v>9</v>
      </c>
      <c r="B1" s="24"/>
      <c r="C1" s="24"/>
      <c r="D1" s="24"/>
      <c r="E1" s="24"/>
      <c r="F1" s="24"/>
      <c r="G1" s="30" t="s">
        <v>0</v>
      </c>
      <c r="H1" s="30"/>
      <c r="I1" s="30"/>
      <c r="J1" s="30"/>
      <c r="X1" s="22" t="s">
        <v>10</v>
      </c>
      <c r="AM1">
        <v>0</v>
      </c>
    </row>
    <row r="2" spans="1:39" ht="47.25" x14ac:dyDescent="0.25">
      <c r="A2" s="12" t="s">
        <v>5</v>
      </c>
      <c r="B2" s="12" t="s">
        <v>4</v>
      </c>
      <c r="C2" s="12" t="s">
        <v>6</v>
      </c>
      <c r="D2" s="13" t="s">
        <v>8</v>
      </c>
      <c r="E2" s="11" t="s">
        <v>7</v>
      </c>
      <c r="F2" s="11" t="s">
        <v>14</v>
      </c>
      <c r="G2" s="14" t="s">
        <v>1</v>
      </c>
      <c r="H2" s="14" t="s">
        <v>2</v>
      </c>
      <c r="I2" s="14" t="s">
        <v>3</v>
      </c>
      <c r="J2" s="14"/>
      <c r="W2" s="16" t="s">
        <v>15</v>
      </c>
      <c r="X2" s="16" t="s">
        <v>4</v>
      </c>
      <c r="Y2" s="16" t="s">
        <v>11</v>
      </c>
      <c r="Z2" s="16" t="s">
        <v>12</v>
      </c>
      <c r="AA2" s="16" t="s">
        <v>13</v>
      </c>
      <c r="AB2" s="17" t="s">
        <v>14</v>
      </c>
    </row>
    <row r="3" spans="1:39" x14ac:dyDescent="0.25">
      <c r="A3" s="2">
        <f t="shared" ref="A3:A19" si="0">+B3+1-$B$3</f>
        <v>1</v>
      </c>
      <c r="B3" s="3">
        <v>43889</v>
      </c>
      <c r="C3" s="8">
        <v>1</v>
      </c>
      <c r="D3" s="9">
        <f>+C3</f>
        <v>1</v>
      </c>
      <c r="E3" s="9"/>
      <c r="F3" s="9"/>
      <c r="G3" s="5"/>
      <c r="H3" s="5"/>
      <c r="I3" s="5"/>
      <c r="J3" s="29"/>
      <c r="W3" s="28" t="s">
        <v>16</v>
      </c>
      <c r="X3" s="18">
        <f>+B33</f>
        <v>43924</v>
      </c>
      <c r="Y3" s="19">
        <f>+VLOOKUP(X3,$B$3:$C$38,2,)</f>
        <v>1688</v>
      </c>
      <c r="Z3" s="20">
        <f>+Y3-Y4</f>
        <v>1103</v>
      </c>
      <c r="AA3" s="21">
        <f>+IFERROR(Y3/Y4,0)</f>
        <v>2.8854700854700854</v>
      </c>
      <c r="AB3" s="21">
        <f>7*LOG(2)/LOG(AA3)</f>
        <v>4.578735488002029</v>
      </c>
    </row>
    <row r="4" spans="1:39" x14ac:dyDescent="0.25">
      <c r="A4" s="2">
        <f t="shared" si="0"/>
        <v>2</v>
      </c>
      <c r="B4" s="3">
        <v>43890</v>
      </c>
      <c r="C4" s="8">
        <v>4</v>
      </c>
      <c r="D4" s="9">
        <f>+C4-C3</f>
        <v>3</v>
      </c>
      <c r="E4" s="15">
        <f>+C4/C3</f>
        <v>4</v>
      </c>
      <c r="F4" s="15">
        <f>IFERROR(LOG(2)/LOG(E4),F3)</f>
        <v>0.5</v>
      </c>
      <c r="G4" s="5"/>
      <c r="H4" s="5"/>
      <c r="I4" s="5"/>
      <c r="J4" s="29"/>
      <c r="W4" s="5" t="s">
        <v>17</v>
      </c>
      <c r="X4" s="25">
        <f>+X3-8</f>
        <v>43916</v>
      </c>
      <c r="Y4" s="19">
        <f t="shared" ref="Y4:Y5" si="1">+VLOOKUP(X4,$B$3:$C$38,2,)</f>
        <v>585</v>
      </c>
      <c r="Z4" s="26">
        <f>+Y4-Y5</f>
        <v>492</v>
      </c>
      <c r="AA4" s="27">
        <f>+IFERROR(Y4/Y5,0)</f>
        <v>6.290322580645161</v>
      </c>
      <c r="AB4" s="27">
        <f t="shared" ref="AB4:AB5" si="2">7*LOG(2)/LOG(AA4)</f>
        <v>2.6383891620731541</v>
      </c>
    </row>
    <row r="5" spans="1:39" x14ac:dyDescent="0.25">
      <c r="A5" s="2">
        <f t="shared" si="0"/>
        <v>3</v>
      </c>
      <c r="B5" s="3">
        <v>43891</v>
      </c>
      <c r="C5" s="8">
        <v>5</v>
      </c>
      <c r="D5" s="9">
        <f t="shared" ref="D5:D32" si="3">+C5-C4</f>
        <v>1</v>
      </c>
      <c r="E5" s="15">
        <f t="shared" ref="E5:E32" si="4">+C5/C4</f>
        <v>1.25</v>
      </c>
      <c r="F5" s="15">
        <f t="shared" ref="F5:F30" si="5">IFERROR(LOG(2)/LOG(E5),F4)</f>
        <v>3.1062837195053898</v>
      </c>
      <c r="G5" s="5"/>
      <c r="H5" s="5"/>
      <c r="I5" s="5"/>
      <c r="J5" s="29"/>
      <c r="W5" s="28" t="s">
        <v>18</v>
      </c>
      <c r="X5" s="25">
        <f>+X4-8</f>
        <v>43908</v>
      </c>
      <c r="Y5" s="19">
        <f t="shared" si="1"/>
        <v>93</v>
      </c>
      <c r="Z5" s="26">
        <f>+Y5-Y6</f>
        <v>86</v>
      </c>
      <c r="AA5" s="27">
        <f>+IFERROR(Y5/Y6,0)</f>
        <v>13.285714285714286</v>
      </c>
      <c r="AB5" s="27">
        <f t="shared" si="2"/>
        <v>1.8757684508928412</v>
      </c>
    </row>
    <row r="6" spans="1:39" x14ac:dyDescent="0.25">
      <c r="A6" s="2">
        <f t="shared" si="0"/>
        <v>5</v>
      </c>
      <c r="B6" s="3">
        <v>43893</v>
      </c>
      <c r="C6" s="8">
        <v>5</v>
      </c>
      <c r="D6" s="9">
        <f t="shared" si="3"/>
        <v>0</v>
      </c>
      <c r="E6" s="15">
        <f t="shared" si="4"/>
        <v>1</v>
      </c>
      <c r="F6" s="15">
        <f t="shared" si="5"/>
        <v>3.1062837195053898</v>
      </c>
      <c r="G6" s="5"/>
      <c r="H6" s="5"/>
      <c r="I6" s="5"/>
      <c r="J6" s="29"/>
      <c r="W6" s="5" t="s">
        <v>19</v>
      </c>
      <c r="X6" s="25">
        <f>+X5-8</f>
        <v>43900</v>
      </c>
      <c r="Y6" s="19">
        <f>+VLOOKUP(X6,$B$3:$C$38,2,)</f>
        <v>7</v>
      </c>
      <c r="Z6" s="26">
        <f>+Y6-Y7</f>
        <v>2</v>
      </c>
      <c r="AA6" s="27">
        <f>+IFERROR(Y6/Y7,0)</f>
        <v>1.4</v>
      </c>
      <c r="AB6" s="27">
        <f>7*LOG(2)/LOG(AA6)</f>
        <v>14.420299019743018</v>
      </c>
    </row>
    <row r="7" spans="1:39" x14ac:dyDescent="0.25">
      <c r="A7" s="2">
        <f t="shared" si="0"/>
        <v>8</v>
      </c>
      <c r="B7" s="3">
        <v>43896</v>
      </c>
      <c r="C7" s="8">
        <v>6</v>
      </c>
      <c r="D7" s="9">
        <f t="shared" si="3"/>
        <v>1</v>
      </c>
      <c r="E7" s="15">
        <f t="shared" si="4"/>
        <v>1.2</v>
      </c>
      <c r="F7" s="15">
        <f t="shared" si="5"/>
        <v>3.8017840169239308</v>
      </c>
      <c r="G7" s="5"/>
      <c r="H7" s="5"/>
      <c r="I7" s="5"/>
      <c r="J7" s="29"/>
      <c r="W7" s="28" t="s">
        <v>20</v>
      </c>
      <c r="X7" s="25">
        <f>+X6-8</f>
        <v>43892</v>
      </c>
      <c r="Y7" s="19">
        <v>5</v>
      </c>
      <c r="Z7" s="26">
        <f>+Y7-X8</f>
        <v>5</v>
      </c>
      <c r="AA7" s="27">
        <f>+IFERROR(Y7/X8,0)</f>
        <v>0</v>
      </c>
      <c r="AB7" s="27">
        <v>0</v>
      </c>
    </row>
    <row r="8" spans="1:39" x14ac:dyDescent="0.25">
      <c r="A8" s="2">
        <f t="shared" si="0"/>
        <v>10</v>
      </c>
      <c r="B8" s="3">
        <v>43898</v>
      </c>
      <c r="C8" s="8">
        <v>7</v>
      </c>
      <c r="D8" s="9">
        <f t="shared" si="3"/>
        <v>1</v>
      </c>
      <c r="E8" s="15">
        <f t="shared" si="4"/>
        <v>1.1666666666666667</v>
      </c>
      <c r="F8" s="15">
        <f t="shared" si="5"/>
        <v>4.4965561056019201</v>
      </c>
      <c r="G8" s="5"/>
      <c r="H8" s="5"/>
      <c r="I8" s="5"/>
      <c r="J8" s="29"/>
      <c r="W8" s="1"/>
    </row>
    <row r="9" spans="1:39" x14ac:dyDescent="0.25">
      <c r="A9" s="2">
        <f t="shared" si="0"/>
        <v>12</v>
      </c>
      <c r="B9" s="3">
        <v>43900</v>
      </c>
      <c r="C9" s="8">
        <v>7</v>
      </c>
      <c r="D9" s="9">
        <f t="shared" si="3"/>
        <v>0</v>
      </c>
      <c r="E9" s="15">
        <f t="shared" si="4"/>
        <v>1</v>
      </c>
      <c r="F9" s="15">
        <f t="shared" si="5"/>
        <v>4.4965561056019201</v>
      </c>
      <c r="G9" s="5"/>
      <c r="H9" s="5"/>
      <c r="I9" s="5"/>
      <c r="J9" s="29"/>
      <c r="W9" s="1"/>
    </row>
    <row r="10" spans="1:39" x14ac:dyDescent="0.25">
      <c r="A10" s="2">
        <f t="shared" si="0"/>
        <v>13</v>
      </c>
      <c r="B10" s="3">
        <v>43901</v>
      </c>
      <c r="C10" s="8">
        <v>8</v>
      </c>
      <c r="D10" s="9">
        <f t="shared" si="3"/>
        <v>1</v>
      </c>
      <c r="E10" s="15">
        <f t="shared" si="4"/>
        <v>1.1428571428571428</v>
      </c>
      <c r="F10" s="15">
        <f t="shared" si="5"/>
        <v>5.1908930696844333</v>
      </c>
      <c r="G10" s="5"/>
      <c r="H10" s="5"/>
      <c r="I10" s="5"/>
      <c r="J10" s="29"/>
      <c r="W10" s="1"/>
    </row>
    <row r="11" spans="1:39" x14ac:dyDescent="0.25">
      <c r="A11" s="2">
        <f t="shared" si="0"/>
        <v>14</v>
      </c>
      <c r="B11" s="3">
        <v>43902</v>
      </c>
      <c r="C11" s="8">
        <v>12</v>
      </c>
      <c r="D11" s="9">
        <f t="shared" si="3"/>
        <v>4</v>
      </c>
      <c r="E11" s="15">
        <f t="shared" si="4"/>
        <v>1.5</v>
      </c>
      <c r="F11" s="15">
        <f t="shared" si="5"/>
        <v>1.7095112913514547</v>
      </c>
      <c r="G11" s="5"/>
      <c r="H11" s="5"/>
      <c r="I11" s="5"/>
      <c r="J11" s="29"/>
      <c r="W11" s="1"/>
    </row>
    <row r="12" spans="1:39" x14ac:dyDescent="0.25">
      <c r="A12" s="2">
        <f t="shared" si="0"/>
        <v>15</v>
      </c>
      <c r="B12" s="3">
        <v>43903</v>
      </c>
      <c r="C12" s="8">
        <v>12</v>
      </c>
      <c r="D12" s="9">
        <f t="shared" si="3"/>
        <v>0</v>
      </c>
      <c r="E12" s="15">
        <f t="shared" si="4"/>
        <v>1</v>
      </c>
      <c r="F12" s="15">
        <f t="shared" si="5"/>
        <v>1.7095112913514547</v>
      </c>
      <c r="G12" s="5"/>
      <c r="H12" s="5"/>
      <c r="I12" s="5"/>
      <c r="J12" s="29"/>
    </row>
    <row r="13" spans="1:39" x14ac:dyDescent="0.25">
      <c r="A13" s="2">
        <f t="shared" si="0"/>
        <v>16</v>
      </c>
      <c r="B13" s="3">
        <v>43904</v>
      </c>
      <c r="C13" s="8">
        <v>26</v>
      </c>
      <c r="D13" s="9">
        <f t="shared" si="3"/>
        <v>14</v>
      </c>
      <c r="E13" s="15">
        <f t="shared" si="4"/>
        <v>2.1666666666666665</v>
      </c>
      <c r="F13" s="15">
        <f t="shared" si="5"/>
        <v>0.89647729633866391</v>
      </c>
      <c r="G13" s="5"/>
      <c r="H13" s="5"/>
      <c r="I13" s="5"/>
      <c r="J13" s="29"/>
    </row>
    <row r="14" spans="1:39" x14ac:dyDescent="0.25">
      <c r="A14" s="2">
        <f t="shared" si="0"/>
        <v>17</v>
      </c>
      <c r="B14" s="3">
        <v>43905</v>
      </c>
      <c r="C14" s="8">
        <v>41</v>
      </c>
      <c r="D14" s="9">
        <f t="shared" si="3"/>
        <v>15</v>
      </c>
      <c r="E14" s="15">
        <f t="shared" si="4"/>
        <v>1.5769230769230769</v>
      </c>
      <c r="F14" s="15">
        <f t="shared" si="5"/>
        <v>1.5218099259128899</v>
      </c>
      <c r="G14" s="5"/>
      <c r="H14" s="5"/>
      <c r="I14" s="5"/>
      <c r="J14" s="29"/>
    </row>
    <row r="15" spans="1:39" x14ac:dyDescent="0.25">
      <c r="A15" s="2">
        <f t="shared" si="0"/>
        <v>18</v>
      </c>
      <c r="B15" s="3">
        <v>43906</v>
      </c>
      <c r="C15" s="8">
        <v>53</v>
      </c>
      <c r="D15" s="9">
        <f t="shared" si="3"/>
        <v>12</v>
      </c>
      <c r="E15" s="15">
        <f t="shared" si="4"/>
        <v>1.2926829268292683</v>
      </c>
      <c r="F15" s="15">
        <f t="shared" si="5"/>
        <v>2.7000139999726995</v>
      </c>
      <c r="G15" s="5"/>
      <c r="H15" s="5"/>
      <c r="I15" s="5"/>
      <c r="J15" s="29"/>
    </row>
    <row r="16" spans="1:39" x14ac:dyDescent="0.25">
      <c r="A16" s="2">
        <f t="shared" si="0"/>
        <v>19</v>
      </c>
      <c r="B16" s="3">
        <v>43907</v>
      </c>
      <c r="C16" s="8">
        <v>82</v>
      </c>
      <c r="D16" s="9">
        <f t="shared" si="3"/>
        <v>29</v>
      </c>
      <c r="E16" s="15">
        <f t="shared" si="4"/>
        <v>1.5471698113207548</v>
      </c>
      <c r="F16" s="15">
        <f t="shared" si="5"/>
        <v>1.5882304498763296</v>
      </c>
      <c r="G16" s="5"/>
      <c r="H16" s="5"/>
      <c r="I16" s="5"/>
      <c r="J16" s="29"/>
    </row>
    <row r="17" spans="1:10" x14ac:dyDescent="0.25">
      <c r="A17" s="2">
        <f t="shared" si="0"/>
        <v>20</v>
      </c>
      <c r="B17" s="3">
        <v>43908</v>
      </c>
      <c r="C17" s="8">
        <v>93</v>
      </c>
      <c r="D17" s="9">
        <f t="shared" si="3"/>
        <v>11</v>
      </c>
      <c r="E17" s="15">
        <f t="shared" si="4"/>
        <v>1.1341463414634145</v>
      </c>
      <c r="F17" s="15">
        <f t="shared" si="5"/>
        <v>5.5064015458878339</v>
      </c>
      <c r="G17" s="5"/>
      <c r="H17" s="5"/>
      <c r="I17" s="5"/>
      <c r="J17" s="29"/>
    </row>
    <row r="18" spans="1:10" x14ac:dyDescent="0.25">
      <c r="A18" s="2">
        <f t="shared" si="0"/>
        <v>21</v>
      </c>
      <c r="B18" s="3">
        <v>43909</v>
      </c>
      <c r="C18" s="8">
        <v>118</v>
      </c>
      <c r="D18" s="9">
        <f t="shared" si="3"/>
        <v>25</v>
      </c>
      <c r="E18" s="15">
        <f t="shared" si="4"/>
        <v>1.2688172043010753</v>
      </c>
      <c r="F18" s="15">
        <f t="shared" si="5"/>
        <v>2.9113417404063613</v>
      </c>
      <c r="G18" s="5"/>
      <c r="H18" s="5"/>
      <c r="I18" s="5"/>
      <c r="J18" s="29"/>
    </row>
    <row r="19" spans="1:10" x14ac:dyDescent="0.25">
      <c r="A19" s="2">
        <f t="shared" si="0"/>
        <v>22</v>
      </c>
      <c r="B19" s="3">
        <v>43910</v>
      </c>
      <c r="C19" s="8">
        <v>164</v>
      </c>
      <c r="D19" s="9">
        <f t="shared" si="3"/>
        <v>46</v>
      </c>
      <c r="E19" s="15">
        <f t="shared" si="4"/>
        <v>1.3898305084745763</v>
      </c>
      <c r="F19" s="15">
        <f t="shared" si="5"/>
        <v>2.1056667576639794</v>
      </c>
      <c r="G19" s="5"/>
      <c r="H19" s="5"/>
      <c r="I19" s="5"/>
      <c r="J19" s="29"/>
    </row>
    <row r="20" spans="1:10" x14ac:dyDescent="0.25">
      <c r="A20" s="4">
        <v>23</v>
      </c>
      <c r="B20" s="3">
        <v>43911</v>
      </c>
      <c r="C20" s="8">
        <v>203</v>
      </c>
      <c r="D20" s="9">
        <f t="shared" si="3"/>
        <v>39</v>
      </c>
      <c r="E20" s="15">
        <f t="shared" si="4"/>
        <v>1.2378048780487805</v>
      </c>
      <c r="F20" s="15">
        <f t="shared" si="5"/>
        <v>3.2490327114872004</v>
      </c>
      <c r="G20" s="5"/>
      <c r="H20" s="5"/>
      <c r="I20" s="5"/>
      <c r="J20" s="29"/>
    </row>
    <row r="21" spans="1:10" x14ac:dyDescent="0.25">
      <c r="A21" s="4">
        <v>24</v>
      </c>
      <c r="B21" s="3">
        <f t="shared" ref="B21:B39" si="6">+$B$3+A21-1</f>
        <v>43912</v>
      </c>
      <c r="C21" s="8">
        <v>316</v>
      </c>
      <c r="D21" s="9">
        <f t="shared" si="3"/>
        <v>113</v>
      </c>
      <c r="E21" s="15">
        <f t="shared" si="4"/>
        <v>1.5566502463054188</v>
      </c>
      <c r="F21" s="15">
        <f t="shared" si="5"/>
        <v>1.5663060478480795</v>
      </c>
      <c r="G21" s="5"/>
      <c r="H21" s="5"/>
      <c r="I21" s="5"/>
      <c r="J21" s="29"/>
    </row>
    <row r="22" spans="1:10" x14ac:dyDescent="0.25">
      <c r="A22" s="4">
        <v>25</v>
      </c>
      <c r="B22" s="3">
        <f t="shared" si="6"/>
        <v>43913</v>
      </c>
      <c r="C22" s="8">
        <v>367</v>
      </c>
      <c r="D22" s="9">
        <f t="shared" si="3"/>
        <v>51</v>
      </c>
      <c r="E22" s="15">
        <f t="shared" si="4"/>
        <v>1.1613924050632911</v>
      </c>
      <c r="F22" s="15">
        <f t="shared" si="5"/>
        <v>4.6327287392870646</v>
      </c>
      <c r="G22" s="5"/>
      <c r="H22" s="5"/>
      <c r="I22" s="5"/>
      <c r="J22" s="29"/>
    </row>
    <row r="23" spans="1:10" x14ac:dyDescent="0.25">
      <c r="A23" s="4">
        <v>26</v>
      </c>
      <c r="B23" s="3">
        <f t="shared" si="6"/>
        <v>43914</v>
      </c>
      <c r="C23" s="8">
        <v>405</v>
      </c>
      <c r="D23" s="9">
        <f t="shared" si="3"/>
        <v>38</v>
      </c>
      <c r="E23" s="15">
        <f t="shared" si="4"/>
        <v>1.103542234332425</v>
      </c>
      <c r="F23" s="15">
        <f t="shared" si="5"/>
        <v>7.0352259779735453</v>
      </c>
      <c r="G23" s="5"/>
      <c r="H23" s="5"/>
      <c r="I23" s="5"/>
      <c r="J23" s="29"/>
    </row>
    <row r="24" spans="1:10" x14ac:dyDescent="0.25">
      <c r="A24" s="4">
        <v>27</v>
      </c>
      <c r="B24" s="3">
        <f t="shared" si="6"/>
        <v>43915</v>
      </c>
      <c r="C24" s="8">
        <v>475</v>
      </c>
      <c r="D24" s="9">
        <f t="shared" si="3"/>
        <v>70</v>
      </c>
      <c r="E24" s="15">
        <f t="shared" si="4"/>
        <v>1.1728395061728396</v>
      </c>
      <c r="F24" s="15">
        <f t="shared" si="5"/>
        <v>4.3477201264704455</v>
      </c>
      <c r="G24" s="5"/>
      <c r="H24" s="5"/>
      <c r="I24" s="5"/>
      <c r="J24" s="29"/>
    </row>
    <row r="25" spans="1:10" x14ac:dyDescent="0.25">
      <c r="A25" s="4">
        <v>28</v>
      </c>
      <c r="B25" s="3">
        <f t="shared" si="6"/>
        <v>43916</v>
      </c>
      <c r="C25" s="8">
        <v>585</v>
      </c>
      <c r="D25" s="9">
        <f t="shared" si="3"/>
        <v>110</v>
      </c>
      <c r="E25" s="15">
        <f t="shared" si="4"/>
        <v>1.2315789473684211</v>
      </c>
      <c r="F25" s="15">
        <f t="shared" si="5"/>
        <v>3.3276861251634502</v>
      </c>
      <c r="G25" s="5"/>
      <c r="H25" s="5"/>
      <c r="I25" s="5"/>
      <c r="J25" s="29"/>
    </row>
    <row r="26" spans="1:10" x14ac:dyDescent="0.25">
      <c r="A26" s="4">
        <v>29</v>
      </c>
      <c r="B26" s="3">
        <f t="shared" si="6"/>
        <v>43917</v>
      </c>
      <c r="C26" s="8">
        <v>717</v>
      </c>
      <c r="D26" s="9">
        <f t="shared" si="3"/>
        <v>132</v>
      </c>
      <c r="E26" s="15">
        <f t="shared" si="4"/>
        <v>1.2256410256410257</v>
      </c>
      <c r="F26" s="15">
        <f t="shared" si="5"/>
        <v>3.40673142744757</v>
      </c>
      <c r="G26" s="5"/>
      <c r="H26" s="5"/>
      <c r="I26" s="5"/>
      <c r="J26" s="29"/>
    </row>
    <row r="27" spans="1:10" x14ac:dyDescent="0.25">
      <c r="A27" s="4">
        <v>30</v>
      </c>
      <c r="B27" s="3">
        <f t="shared" si="6"/>
        <v>43918</v>
      </c>
      <c r="C27" s="8">
        <v>848</v>
      </c>
      <c r="D27" s="9">
        <f t="shared" si="3"/>
        <v>131</v>
      </c>
      <c r="E27" s="15">
        <f t="shared" si="4"/>
        <v>1.1827057182705718</v>
      </c>
      <c r="F27" s="15">
        <f t="shared" si="5"/>
        <v>4.1306756446720598</v>
      </c>
      <c r="G27" s="5"/>
      <c r="H27" s="5"/>
      <c r="I27" s="5"/>
      <c r="J27" s="29"/>
    </row>
    <row r="28" spans="1:10" x14ac:dyDescent="0.25">
      <c r="A28" s="4">
        <v>31</v>
      </c>
      <c r="B28" s="3">
        <f t="shared" si="6"/>
        <v>43919</v>
      </c>
      <c r="C28" s="8">
        <v>993</v>
      </c>
      <c r="D28" s="9">
        <f t="shared" si="3"/>
        <v>145</v>
      </c>
      <c r="E28" s="15">
        <f t="shared" si="4"/>
        <v>1.1709905660377358</v>
      </c>
      <c r="F28" s="15">
        <f t="shared" si="5"/>
        <v>4.3911755241994292</v>
      </c>
      <c r="G28" s="5"/>
      <c r="H28" s="5"/>
      <c r="I28" s="5"/>
      <c r="J28" s="29"/>
    </row>
    <row r="29" spans="1:10" x14ac:dyDescent="0.25">
      <c r="A29" s="4">
        <v>32</v>
      </c>
      <c r="B29" s="3">
        <f t="shared" si="6"/>
        <v>43920</v>
      </c>
      <c r="C29" s="8">
        <v>1094</v>
      </c>
      <c r="D29" s="9">
        <f t="shared" si="3"/>
        <v>101</v>
      </c>
      <c r="E29" s="15">
        <f t="shared" si="4"/>
        <v>1.1017119838872105</v>
      </c>
      <c r="F29" s="15">
        <f t="shared" si="5"/>
        <v>7.1557827731153241</v>
      </c>
      <c r="G29" s="5"/>
      <c r="H29" s="5"/>
      <c r="I29" s="5"/>
      <c r="J29" s="29"/>
    </row>
    <row r="30" spans="1:10" x14ac:dyDescent="0.25">
      <c r="A30" s="4">
        <v>33</v>
      </c>
      <c r="B30" s="3">
        <f t="shared" si="6"/>
        <v>43921</v>
      </c>
      <c r="C30" s="8">
        <v>1215</v>
      </c>
      <c r="D30" s="9">
        <f t="shared" si="3"/>
        <v>121</v>
      </c>
      <c r="E30" s="15">
        <f t="shared" si="4"/>
        <v>1.1106032906764167</v>
      </c>
      <c r="F30" s="15">
        <f t="shared" si="5"/>
        <v>6.6074823154592899</v>
      </c>
      <c r="G30" s="5"/>
      <c r="H30" s="5"/>
      <c r="I30" s="5"/>
      <c r="J30" s="29"/>
    </row>
    <row r="31" spans="1:10" x14ac:dyDescent="0.25">
      <c r="A31" s="4">
        <v>34</v>
      </c>
      <c r="B31" s="3">
        <f t="shared" si="6"/>
        <v>43922</v>
      </c>
      <c r="C31" s="8">
        <v>1378</v>
      </c>
      <c r="D31" s="9">
        <f t="shared" si="3"/>
        <v>163</v>
      </c>
      <c r="E31" s="15">
        <f t="shared" si="4"/>
        <v>1.1341563786008231</v>
      </c>
      <c r="F31" s="15">
        <f>IFERROR(LOG(2)/LOG(E31),F30)</f>
        <v>5.5060144499480836</v>
      </c>
      <c r="G31" s="6"/>
      <c r="H31" s="6"/>
      <c r="I31" s="6"/>
    </row>
    <row r="32" spans="1:10" x14ac:dyDescent="0.25">
      <c r="A32" s="4">
        <v>35</v>
      </c>
      <c r="B32" s="3">
        <f t="shared" si="6"/>
        <v>43923</v>
      </c>
      <c r="C32" s="8">
        <v>1510</v>
      </c>
      <c r="D32" s="9">
        <f t="shared" si="3"/>
        <v>132</v>
      </c>
      <c r="E32" s="15">
        <f t="shared" si="4"/>
        <v>1.0957910014513788</v>
      </c>
      <c r="F32" s="15">
        <f>IFERROR(LOG(2)/LOG(E32),F31)</f>
        <v>7.5773269143188875</v>
      </c>
      <c r="G32" s="7"/>
      <c r="H32" s="7"/>
      <c r="I32" s="7"/>
    </row>
    <row r="33" spans="1:10" x14ac:dyDescent="0.25">
      <c r="A33" s="4">
        <v>36</v>
      </c>
      <c r="B33" s="3">
        <f t="shared" si="6"/>
        <v>43924</v>
      </c>
      <c r="C33" s="8">
        <v>1688</v>
      </c>
      <c r="D33" s="9">
        <f t="shared" ref="D33" si="7">+C33-C32</f>
        <v>178</v>
      </c>
      <c r="E33" s="15">
        <f t="shared" ref="E33" si="8">+C33/C32</f>
        <v>1.1178807947019866</v>
      </c>
      <c r="F33" s="15">
        <f>IFERROR(LOG(2)/LOG(E33),F32)</f>
        <v>6.2202069776527464</v>
      </c>
      <c r="G33" s="7">
        <f>+$C$33</f>
        <v>1688</v>
      </c>
      <c r="H33" s="7">
        <f t="shared" ref="H33:I33" si="9">+$C$33</f>
        <v>1688</v>
      </c>
      <c r="I33" s="7">
        <f t="shared" si="9"/>
        <v>1688</v>
      </c>
      <c r="J33">
        <f>LOG(2)/LOG(I33/C32)</f>
        <v>6.2202069776527464</v>
      </c>
    </row>
    <row r="34" spans="1:10" x14ac:dyDescent="0.25">
      <c r="A34" s="4">
        <v>37</v>
      </c>
      <c r="B34" s="3">
        <f t="shared" si="6"/>
        <v>43925</v>
      </c>
      <c r="C34" s="8">
        <v>1890</v>
      </c>
      <c r="D34" s="10"/>
      <c r="E34" s="10"/>
      <c r="F34" s="10"/>
      <c r="G34" s="7">
        <f>+H34-_xlfn.FORECAST.ETS.CONFINT(B34,$C$3:$C$33,$B$3:$B$33)</f>
        <v>1747.8335685499517</v>
      </c>
      <c r="H34" s="7">
        <f>+_xlfn.FORECAST.ETS(B34,$C$3:$C$33,$B$3:$B$33)</f>
        <v>1820.3656226621572</v>
      </c>
      <c r="I34" s="7">
        <f>+H34+_xlfn.FORECAST.ETS.CONFINT(B34,$C$3:$C$33,$B$3:$B$33)</f>
        <v>1892.8976767743627</v>
      </c>
      <c r="J34">
        <f t="shared" ref="J34:J40" si="10">LOG(2)/LOG(I34/I33)</f>
        <v>6.0502830965387986</v>
      </c>
    </row>
    <row r="35" spans="1:10" x14ac:dyDescent="0.25">
      <c r="A35" s="4">
        <v>38</v>
      </c>
      <c r="B35" s="3">
        <f t="shared" si="6"/>
        <v>43926</v>
      </c>
      <c r="C35" s="8">
        <v>2143</v>
      </c>
      <c r="D35" s="10"/>
      <c r="E35" s="10"/>
      <c r="F35" s="10"/>
      <c r="G35" s="7">
        <f t="shared" ref="G35:G40" si="11">+H35-_xlfn.FORECAST.ETS.CONFINT(B35,$C$3:$C$33,$B$3:$B$33)</f>
        <v>1891.41909668365</v>
      </c>
      <c r="H35" s="7">
        <f t="shared" ref="H35:H40" si="12">+_xlfn.FORECAST.ETS(B35,$C$3:$C$33,$B$3:$B$33)</f>
        <v>1972.4799870944703</v>
      </c>
      <c r="I35" s="7">
        <f t="shared" ref="I35:I40" si="13">+H35+_xlfn.FORECAST.ETS.CONFINT(B35,$C$3:$C$33,$B$3:$B$33)</f>
        <v>2053.5408775052906</v>
      </c>
      <c r="J35">
        <f t="shared" si="10"/>
        <v>8.5093898118986235</v>
      </c>
    </row>
    <row r="36" spans="1:10" x14ac:dyDescent="0.25">
      <c r="A36" s="4">
        <v>39</v>
      </c>
      <c r="B36" s="3">
        <f t="shared" si="6"/>
        <v>43927</v>
      </c>
      <c r="C36" s="8">
        <v>2439</v>
      </c>
      <c r="D36" s="10"/>
      <c r="E36" s="10"/>
      <c r="F36" s="10"/>
      <c r="G36" s="7">
        <f t="shared" si="11"/>
        <v>2027.0527608198151</v>
      </c>
      <c r="H36" s="7">
        <f t="shared" si="12"/>
        <v>2124.5943515267836</v>
      </c>
      <c r="I36" s="7">
        <f t="shared" si="13"/>
        <v>2222.1359422337518</v>
      </c>
      <c r="J36">
        <f t="shared" si="10"/>
        <v>8.7847669433518654</v>
      </c>
    </row>
    <row r="37" spans="1:10" x14ac:dyDescent="0.25">
      <c r="A37" s="4">
        <v>40</v>
      </c>
      <c r="B37" s="3">
        <f t="shared" si="6"/>
        <v>43928</v>
      </c>
      <c r="C37" s="4"/>
      <c r="D37" s="10"/>
      <c r="E37" s="10"/>
      <c r="F37" s="10"/>
      <c r="G37" s="7">
        <f t="shared" si="11"/>
        <v>2155.2849013829227</v>
      </c>
      <c r="H37" s="7">
        <f t="shared" si="12"/>
        <v>2276.7087159590969</v>
      </c>
      <c r="I37" s="7">
        <f t="shared" si="13"/>
        <v>2398.1325305352711</v>
      </c>
      <c r="J37">
        <f t="shared" si="10"/>
        <v>9.0938594819891154</v>
      </c>
    </row>
    <row r="38" spans="1:10" x14ac:dyDescent="0.25">
      <c r="A38" s="4">
        <v>41</v>
      </c>
      <c r="B38" s="3">
        <f t="shared" si="6"/>
        <v>43929</v>
      </c>
      <c r="C38" s="4"/>
      <c r="D38" s="10"/>
      <c r="E38" s="10"/>
      <c r="F38" s="10"/>
      <c r="G38" s="7">
        <f t="shared" si="11"/>
        <v>2277.4580500109223</v>
      </c>
      <c r="H38" s="7">
        <f t="shared" si="12"/>
        <v>2428.8230803914103</v>
      </c>
      <c r="I38" s="7">
        <f t="shared" si="13"/>
        <v>2580.1881107718982</v>
      </c>
      <c r="J38">
        <f t="shared" si="10"/>
        <v>9.4728491828394592</v>
      </c>
    </row>
    <row r="39" spans="1:10" x14ac:dyDescent="0.25">
      <c r="A39" s="4">
        <v>42</v>
      </c>
      <c r="B39" s="3">
        <f t="shared" si="6"/>
        <v>43930</v>
      </c>
      <c r="C39" s="4"/>
      <c r="D39" s="10"/>
      <c r="E39" s="10"/>
      <c r="F39" s="10"/>
      <c r="G39" s="7">
        <f t="shared" si="11"/>
        <v>2394.7396657624313</v>
      </c>
      <c r="H39" s="7">
        <f t="shared" si="12"/>
        <v>2580.9374448237231</v>
      </c>
      <c r="I39" s="7">
        <f t="shared" si="13"/>
        <v>2767.135223885015</v>
      </c>
      <c r="J39">
        <f t="shared" si="10"/>
        <v>9.9091433941204539</v>
      </c>
    </row>
    <row r="40" spans="1:10" x14ac:dyDescent="0.25">
      <c r="A40" s="4">
        <v>43</v>
      </c>
      <c r="B40" s="3">
        <f t="shared" ref="B40" si="14">+$B$3+A40-1</f>
        <v>43931</v>
      </c>
      <c r="C40" s="4"/>
      <c r="D40" s="10"/>
      <c r="E40" s="10"/>
      <c r="F40" s="10"/>
      <c r="G40" s="7">
        <f t="shared" si="11"/>
        <v>2507.9499961931806</v>
      </c>
      <c r="H40" s="7">
        <f t="shared" si="12"/>
        <v>2733.0518092560364</v>
      </c>
      <c r="I40" s="7">
        <f t="shared" si="13"/>
        <v>2958.1536223188923</v>
      </c>
      <c r="J40">
        <f t="shared" si="10"/>
        <v>10.383803105788335</v>
      </c>
    </row>
  </sheetData>
  <mergeCells count="1">
    <mergeCell ref="G1:J1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23C1A-7329-4AAF-BA97-88C03799325E}">
  <dimension ref="A1:AM44"/>
  <sheetViews>
    <sheetView showGridLines="0" tabSelected="1" topLeftCell="J1" zoomScale="85" zoomScaleNormal="85" workbookViewId="0">
      <selection activeCell="W49" sqref="W49"/>
    </sheetView>
  </sheetViews>
  <sheetFormatPr baseColWidth="10" defaultRowHeight="15" x14ac:dyDescent="0.25"/>
  <cols>
    <col min="3" max="3" width="15.42578125" customWidth="1"/>
    <col min="4" max="4" width="14.28515625" customWidth="1"/>
    <col min="6" max="6" width="13" customWidth="1"/>
    <col min="7" max="7" width="11.85546875" bestFit="1" customWidth="1"/>
    <col min="8" max="8" width="13.5703125" customWidth="1"/>
  </cols>
  <sheetData>
    <row r="1" spans="1:39" x14ac:dyDescent="0.25">
      <c r="A1" s="23" t="s">
        <v>9</v>
      </c>
      <c r="B1" s="24"/>
      <c r="C1" s="24"/>
      <c r="D1" s="24"/>
      <c r="E1" s="24"/>
      <c r="F1" s="24"/>
      <c r="G1" s="30" t="s">
        <v>0</v>
      </c>
      <c r="H1" s="30"/>
      <c r="I1" s="30"/>
      <c r="J1" s="30"/>
      <c r="X1" s="22" t="s">
        <v>10</v>
      </c>
      <c r="AM1">
        <v>0</v>
      </c>
    </row>
    <row r="2" spans="1:39" ht="47.25" x14ac:dyDescent="0.25">
      <c r="A2" s="12" t="s">
        <v>5</v>
      </c>
      <c r="B2" s="12" t="s">
        <v>4</v>
      </c>
      <c r="C2" s="12" t="s">
        <v>6</v>
      </c>
      <c r="D2" s="13" t="s">
        <v>8</v>
      </c>
      <c r="E2" s="11" t="s">
        <v>7</v>
      </c>
      <c r="F2" s="11" t="s">
        <v>14</v>
      </c>
      <c r="G2" s="14" t="s">
        <v>1</v>
      </c>
      <c r="H2" s="14" t="s">
        <v>2</v>
      </c>
      <c r="I2" s="14" t="s">
        <v>3</v>
      </c>
      <c r="J2" s="14"/>
      <c r="W2" s="16" t="s">
        <v>15</v>
      </c>
      <c r="X2" s="16" t="s">
        <v>4</v>
      </c>
      <c r="Y2" s="16" t="s">
        <v>11</v>
      </c>
      <c r="Z2" s="16" t="s">
        <v>12</v>
      </c>
      <c r="AA2" s="16" t="s">
        <v>13</v>
      </c>
      <c r="AB2" s="17" t="s">
        <v>14</v>
      </c>
    </row>
    <row r="3" spans="1:39" x14ac:dyDescent="0.25">
      <c r="A3" s="2">
        <f t="shared" ref="A3:A19" si="0">+B3+1-$B$3</f>
        <v>1</v>
      </c>
      <c r="B3" s="3">
        <v>43889</v>
      </c>
      <c r="C3" s="8">
        <v>1</v>
      </c>
      <c r="D3" s="9">
        <f>+C3</f>
        <v>1</v>
      </c>
      <c r="E3" s="9"/>
      <c r="F3" s="9"/>
      <c r="G3" s="5"/>
      <c r="H3" s="5"/>
      <c r="I3" s="5"/>
      <c r="J3" s="29"/>
      <c r="W3" s="28" t="s">
        <v>16</v>
      </c>
      <c r="X3" s="18">
        <f>+B36</f>
        <v>43927</v>
      </c>
      <c r="Y3" s="19">
        <f>+VLOOKUP(X3,$B$3:$C$38,2,)</f>
        <v>2439</v>
      </c>
      <c r="Z3" s="20">
        <f>+Y3-Y4</f>
        <v>1446</v>
      </c>
      <c r="AA3" s="21">
        <f>+IFERROR(Y3/Y4,0)</f>
        <v>2.4561933534743203</v>
      </c>
      <c r="AB3" s="21">
        <f>7*LOG(2)/LOG(AA3)</f>
        <v>5.3994675118833451</v>
      </c>
    </row>
    <row r="4" spans="1:39" x14ac:dyDescent="0.25">
      <c r="A4" s="2">
        <f t="shared" si="0"/>
        <v>2</v>
      </c>
      <c r="B4" s="3">
        <v>43890</v>
      </c>
      <c r="C4" s="8">
        <v>4</v>
      </c>
      <c r="D4" s="9">
        <f>+C4-C3</f>
        <v>3</v>
      </c>
      <c r="E4" s="15">
        <f>+C4/C3</f>
        <v>4</v>
      </c>
      <c r="F4" s="15">
        <f>IFERROR(LOG(2)/LOG(E4),F3)</f>
        <v>0.5</v>
      </c>
      <c r="G4" s="5"/>
      <c r="H4" s="5"/>
      <c r="I4" s="5"/>
      <c r="J4" s="29"/>
      <c r="W4" s="5" t="s">
        <v>17</v>
      </c>
      <c r="X4" s="25">
        <f>+X3-8</f>
        <v>43919</v>
      </c>
      <c r="Y4" s="19">
        <f t="shared" ref="Y4:Y5" si="1">+VLOOKUP(X4,$B$3:$C$38,2,)</f>
        <v>993</v>
      </c>
      <c r="Z4" s="26">
        <f>+Y4-Y5</f>
        <v>790</v>
      </c>
      <c r="AA4" s="27">
        <f>+IFERROR(Y4/Y5,0)</f>
        <v>4.8916256157635472</v>
      </c>
      <c r="AB4" s="27">
        <f t="shared" ref="AB4:AB5" si="2">7*LOG(2)/LOG(AA4)</f>
        <v>3.056349491604454</v>
      </c>
    </row>
    <row r="5" spans="1:39" x14ac:dyDescent="0.25">
      <c r="A5" s="2">
        <f t="shared" si="0"/>
        <v>3</v>
      </c>
      <c r="B5" s="3">
        <v>43891</v>
      </c>
      <c r="C5" s="8">
        <v>5</v>
      </c>
      <c r="D5" s="9">
        <f t="shared" ref="D5:D33" si="3">+C5-C4</f>
        <v>1</v>
      </c>
      <c r="E5" s="15">
        <f t="shared" ref="E5:E33" si="4">+C5/C4</f>
        <v>1.25</v>
      </c>
      <c r="F5" s="15">
        <f t="shared" ref="F5:F30" si="5">IFERROR(LOG(2)/LOG(E5),F4)</f>
        <v>3.1062837195053898</v>
      </c>
      <c r="G5" s="5"/>
      <c r="H5" s="5"/>
      <c r="I5" s="5"/>
      <c r="J5" s="29"/>
      <c r="W5" s="28" t="s">
        <v>18</v>
      </c>
      <c r="X5" s="25">
        <f>+X4-8</f>
        <v>43911</v>
      </c>
      <c r="Y5" s="19">
        <f t="shared" si="1"/>
        <v>203</v>
      </c>
      <c r="Z5" s="26">
        <f>+Y5-Y6</f>
        <v>191</v>
      </c>
      <c r="AA5" s="27">
        <f>+IFERROR(Y5/Y6,0)</f>
        <v>16.916666666666668</v>
      </c>
      <c r="AB5" s="27">
        <f t="shared" si="2"/>
        <v>1.7155292630217351</v>
      </c>
    </row>
    <row r="6" spans="1:39" x14ac:dyDescent="0.25">
      <c r="A6" s="2">
        <f t="shared" si="0"/>
        <v>5</v>
      </c>
      <c r="B6" s="3">
        <v>43893</v>
      </c>
      <c r="C6" s="8">
        <v>5</v>
      </c>
      <c r="D6" s="9">
        <f t="shared" si="3"/>
        <v>0</v>
      </c>
      <c r="E6" s="15">
        <f t="shared" si="4"/>
        <v>1</v>
      </c>
      <c r="F6" s="15">
        <f t="shared" si="5"/>
        <v>3.1062837195053898</v>
      </c>
      <c r="G6" s="5"/>
      <c r="H6" s="5"/>
      <c r="I6" s="5"/>
      <c r="J6" s="29"/>
      <c r="W6" s="5" t="s">
        <v>19</v>
      </c>
      <c r="X6" s="25">
        <f>+X5-8</f>
        <v>43903</v>
      </c>
      <c r="Y6" s="19">
        <f>+VLOOKUP(X6,$B$3:$C$38,2,)</f>
        <v>12</v>
      </c>
      <c r="Z6" s="26">
        <f>+Y6-Y7</f>
        <v>7</v>
      </c>
      <c r="AA6" s="27">
        <f>+IFERROR(Y6/Y7,0)</f>
        <v>2.4</v>
      </c>
      <c r="AB6" s="27">
        <f>7*LOG(2)/LOG(AA6)</f>
        <v>5.5422084843199029</v>
      </c>
    </row>
    <row r="7" spans="1:39" x14ac:dyDescent="0.25">
      <c r="A7" s="2">
        <f t="shared" si="0"/>
        <v>8</v>
      </c>
      <c r="B7" s="3">
        <v>43896</v>
      </c>
      <c r="C7" s="8">
        <v>6</v>
      </c>
      <c r="D7" s="9">
        <f t="shared" si="3"/>
        <v>1</v>
      </c>
      <c r="E7" s="15">
        <f t="shared" si="4"/>
        <v>1.2</v>
      </c>
      <c r="F7" s="15">
        <f t="shared" si="5"/>
        <v>3.8017840169239308</v>
      </c>
      <c r="G7" s="5"/>
      <c r="H7" s="5"/>
      <c r="I7" s="5"/>
      <c r="J7" s="29"/>
      <c r="W7" s="28" t="s">
        <v>20</v>
      </c>
      <c r="X7" s="25">
        <f>+X6-8</f>
        <v>43895</v>
      </c>
      <c r="Y7" s="19">
        <v>5</v>
      </c>
      <c r="Z7" s="26">
        <f>+Y7-X8</f>
        <v>5</v>
      </c>
      <c r="AA7" s="27">
        <f>+IFERROR(Y7/X8,0)</f>
        <v>0</v>
      </c>
      <c r="AB7" s="27">
        <v>0</v>
      </c>
    </row>
    <row r="8" spans="1:39" x14ac:dyDescent="0.25">
      <c r="A8" s="2">
        <f t="shared" si="0"/>
        <v>10</v>
      </c>
      <c r="B8" s="3">
        <v>43898</v>
      </c>
      <c r="C8" s="8">
        <v>7</v>
      </c>
      <c r="D8" s="9">
        <f t="shared" si="3"/>
        <v>1</v>
      </c>
      <c r="E8" s="15">
        <f t="shared" si="4"/>
        <v>1.1666666666666667</v>
      </c>
      <c r="F8" s="15">
        <f t="shared" si="5"/>
        <v>4.4965561056019201</v>
      </c>
      <c r="G8" s="5"/>
      <c r="H8" s="5"/>
      <c r="I8" s="5"/>
      <c r="J8" s="29"/>
      <c r="W8" s="1"/>
      <c r="X8" s="25"/>
    </row>
    <row r="9" spans="1:39" x14ac:dyDescent="0.25">
      <c r="A9" s="2">
        <f t="shared" si="0"/>
        <v>12</v>
      </c>
      <c r="B9" s="3">
        <v>43900</v>
      </c>
      <c r="C9" s="8">
        <v>7</v>
      </c>
      <c r="D9" s="9">
        <f t="shared" si="3"/>
        <v>0</v>
      </c>
      <c r="E9" s="15">
        <f t="shared" si="4"/>
        <v>1</v>
      </c>
      <c r="F9" s="15">
        <f t="shared" si="5"/>
        <v>4.4965561056019201</v>
      </c>
      <c r="G9" s="5"/>
      <c r="H9" s="5"/>
      <c r="I9" s="5"/>
      <c r="J9" s="29"/>
      <c r="W9" s="1"/>
    </row>
    <row r="10" spans="1:39" x14ac:dyDescent="0.25">
      <c r="A10" s="2">
        <f t="shared" si="0"/>
        <v>13</v>
      </c>
      <c r="B10" s="3">
        <v>43901</v>
      </c>
      <c r="C10" s="8">
        <v>8</v>
      </c>
      <c r="D10" s="9">
        <f t="shared" si="3"/>
        <v>1</v>
      </c>
      <c r="E10" s="15">
        <f t="shared" si="4"/>
        <v>1.1428571428571428</v>
      </c>
      <c r="F10" s="15">
        <f t="shared" si="5"/>
        <v>5.1908930696844333</v>
      </c>
      <c r="G10" s="5"/>
      <c r="H10" s="5"/>
      <c r="I10" s="5"/>
      <c r="J10" s="29"/>
      <c r="W10" s="1"/>
    </row>
    <row r="11" spans="1:39" x14ac:dyDescent="0.25">
      <c r="A11" s="2">
        <f t="shared" si="0"/>
        <v>14</v>
      </c>
      <c r="B11" s="3">
        <v>43902</v>
      </c>
      <c r="C11" s="8">
        <v>12</v>
      </c>
      <c r="D11" s="9">
        <f t="shared" si="3"/>
        <v>4</v>
      </c>
      <c r="E11" s="15">
        <f t="shared" si="4"/>
        <v>1.5</v>
      </c>
      <c r="F11" s="15">
        <f t="shared" si="5"/>
        <v>1.7095112913514547</v>
      </c>
      <c r="G11" s="5"/>
      <c r="H11" s="5"/>
      <c r="I11" s="5"/>
      <c r="J11" s="29"/>
      <c r="W11" s="1"/>
    </row>
    <row r="12" spans="1:39" x14ac:dyDescent="0.25">
      <c r="A12" s="2">
        <f t="shared" si="0"/>
        <v>15</v>
      </c>
      <c r="B12" s="3">
        <v>43903</v>
      </c>
      <c r="C12" s="8">
        <v>12</v>
      </c>
      <c r="D12" s="9">
        <f t="shared" si="3"/>
        <v>0</v>
      </c>
      <c r="E12" s="15">
        <f t="shared" si="4"/>
        <v>1</v>
      </c>
      <c r="F12" s="15">
        <f t="shared" si="5"/>
        <v>1.7095112913514547</v>
      </c>
      <c r="G12" s="5"/>
      <c r="H12" s="5"/>
      <c r="I12" s="5"/>
      <c r="J12" s="29"/>
    </row>
    <row r="13" spans="1:39" x14ac:dyDescent="0.25">
      <c r="A13" s="2">
        <f t="shared" si="0"/>
        <v>16</v>
      </c>
      <c r="B13" s="3">
        <v>43904</v>
      </c>
      <c r="C13" s="8">
        <v>26</v>
      </c>
      <c r="D13" s="9">
        <f t="shared" si="3"/>
        <v>14</v>
      </c>
      <c r="E13" s="15">
        <f t="shared" si="4"/>
        <v>2.1666666666666665</v>
      </c>
      <c r="F13" s="15">
        <f t="shared" si="5"/>
        <v>0.89647729633866391</v>
      </c>
      <c r="G13" s="5"/>
      <c r="H13" s="5"/>
      <c r="I13" s="5"/>
      <c r="J13" s="29"/>
    </row>
    <row r="14" spans="1:39" x14ac:dyDescent="0.25">
      <c r="A14" s="2">
        <f t="shared" si="0"/>
        <v>17</v>
      </c>
      <c r="B14" s="3">
        <v>43905</v>
      </c>
      <c r="C14" s="8">
        <v>41</v>
      </c>
      <c r="D14" s="9">
        <f t="shared" si="3"/>
        <v>15</v>
      </c>
      <c r="E14" s="15">
        <f t="shared" si="4"/>
        <v>1.5769230769230769</v>
      </c>
      <c r="F14" s="15">
        <f t="shared" si="5"/>
        <v>1.5218099259128899</v>
      </c>
      <c r="G14" s="5"/>
      <c r="H14" s="5"/>
      <c r="I14" s="5"/>
      <c r="J14" s="29"/>
    </row>
    <row r="15" spans="1:39" x14ac:dyDescent="0.25">
      <c r="A15" s="2">
        <f t="shared" si="0"/>
        <v>18</v>
      </c>
      <c r="B15" s="3">
        <v>43906</v>
      </c>
      <c r="C15" s="8">
        <v>53</v>
      </c>
      <c r="D15" s="9">
        <f t="shared" si="3"/>
        <v>12</v>
      </c>
      <c r="E15" s="15">
        <f t="shared" si="4"/>
        <v>1.2926829268292683</v>
      </c>
      <c r="F15" s="15">
        <f t="shared" si="5"/>
        <v>2.7000139999726995</v>
      </c>
      <c r="G15" s="5"/>
      <c r="H15" s="5"/>
      <c r="I15" s="5"/>
      <c r="J15" s="29"/>
    </row>
    <row r="16" spans="1:39" x14ac:dyDescent="0.25">
      <c r="A16" s="2">
        <f t="shared" si="0"/>
        <v>19</v>
      </c>
      <c r="B16" s="3">
        <v>43907</v>
      </c>
      <c r="C16" s="8">
        <v>82</v>
      </c>
      <c r="D16" s="9">
        <f t="shared" si="3"/>
        <v>29</v>
      </c>
      <c r="E16" s="15">
        <f t="shared" si="4"/>
        <v>1.5471698113207548</v>
      </c>
      <c r="F16" s="15">
        <f t="shared" si="5"/>
        <v>1.5882304498763296</v>
      </c>
      <c r="G16" s="5"/>
      <c r="H16" s="5"/>
      <c r="I16" s="5"/>
      <c r="J16" s="29"/>
    </row>
    <row r="17" spans="1:10" x14ac:dyDescent="0.25">
      <c r="A17" s="2">
        <f t="shared" si="0"/>
        <v>20</v>
      </c>
      <c r="B17" s="3">
        <v>43908</v>
      </c>
      <c r="C17" s="8">
        <v>93</v>
      </c>
      <c r="D17" s="9">
        <f t="shared" si="3"/>
        <v>11</v>
      </c>
      <c r="E17" s="15">
        <f t="shared" si="4"/>
        <v>1.1341463414634145</v>
      </c>
      <c r="F17" s="15">
        <f t="shared" si="5"/>
        <v>5.5064015458878339</v>
      </c>
      <c r="G17" s="5"/>
      <c r="H17" s="5"/>
      <c r="I17" s="5"/>
      <c r="J17" s="29"/>
    </row>
    <row r="18" spans="1:10" x14ac:dyDescent="0.25">
      <c r="A18" s="2">
        <f t="shared" si="0"/>
        <v>21</v>
      </c>
      <c r="B18" s="3">
        <v>43909</v>
      </c>
      <c r="C18" s="8">
        <v>118</v>
      </c>
      <c r="D18" s="9">
        <f t="shared" si="3"/>
        <v>25</v>
      </c>
      <c r="E18" s="15">
        <f t="shared" si="4"/>
        <v>1.2688172043010753</v>
      </c>
      <c r="F18" s="15">
        <f t="shared" si="5"/>
        <v>2.9113417404063613</v>
      </c>
      <c r="G18" s="5"/>
      <c r="H18" s="5"/>
      <c r="I18" s="5"/>
      <c r="J18" s="29"/>
    </row>
    <row r="19" spans="1:10" x14ac:dyDescent="0.25">
      <c r="A19" s="2">
        <f t="shared" si="0"/>
        <v>22</v>
      </c>
      <c r="B19" s="3">
        <v>43910</v>
      </c>
      <c r="C19" s="8">
        <v>164</v>
      </c>
      <c r="D19" s="9">
        <f t="shared" si="3"/>
        <v>46</v>
      </c>
      <c r="E19" s="15">
        <f t="shared" si="4"/>
        <v>1.3898305084745763</v>
      </c>
      <c r="F19" s="15">
        <f t="shared" si="5"/>
        <v>2.1056667576639794</v>
      </c>
      <c r="G19" s="5"/>
      <c r="H19" s="5"/>
      <c r="I19" s="5"/>
      <c r="J19" s="29"/>
    </row>
    <row r="20" spans="1:10" x14ac:dyDescent="0.25">
      <c r="A20" s="4">
        <v>23</v>
      </c>
      <c r="B20" s="3">
        <v>43911</v>
      </c>
      <c r="C20" s="8">
        <v>203</v>
      </c>
      <c r="D20" s="9">
        <f t="shared" si="3"/>
        <v>39</v>
      </c>
      <c r="E20" s="15">
        <f t="shared" si="4"/>
        <v>1.2378048780487805</v>
      </c>
      <c r="F20" s="15">
        <f t="shared" si="5"/>
        <v>3.2490327114872004</v>
      </c>
      <c r="G20" s="5"/>
      <c r="H20" s="5"/>
      <c r="I20" s="5"/>
      <c r="J20" s="29"/>
    </row>
    <row r="21" spans="1:10" x14ac:dyDescent="0.25">
      <c r="A21" s="4">
        <v>24</v>
      </c>
      <c r="B21" s="3">
        <f t="shared" ref="B21:B40" si="6">+$B$3+A21-1</f>
        <v>43912</v>
      </c>
      <c r="C21" s="8">
        <v>316</v>
      </c>
      <c r="D21" s="9">
        <f t="shared" si="3"/>
        <v>113</v>
      </c>
      <c r="E21" s="15">
        <f t="shared" si="4"/>
        <v>1.5566502463054188</v>
      </c>
      <c r="F21" s="15">
        <f t="shared" si="5"/>
        <v>1.5663060478480795</v>
      </c>
      <c r="G21" s="5"/>
      <c r="H21" s="5"/>
      <c r="I21" s="5"/>
      <c r="J21" s="29"/>
    </row>
    <row r="22" spans="1:10" x14ac:dyDescent="0.25">
      <c r="A22" s="4">
        <v>25</v>
      </c>
      <c r="B22" s="3">
        <f t="shared" si="6"/>
        <v>43913</v>
      </c>
      <c r="C22" s="8">
        <v>367</v>
      </c>
      <c r="D22" s="9">
        <f t="shared" si="3"/>
        <v>51</v>
      </c>
      <c r="E22" s="15">
        <f t="shared" si="4"/>
        <v>1.1613924050632911</v>
      </c>
      <c r="F22" s="15">
        <f t="shared" si="5"/>
        <v>4.6327287392870646</v>
      </c>
      <c r="G22" s="5"/>
      <c r="H22" s="5"/>
      <c r="I22" s="5"/>
      <c r="J22" s="29"/>
    </row>
    <row r="23" spans="1:10" x14ac:dyDescent="0.25">
      <c r="A23" s="4">
        <v>26</v>
      </c>
      <c r="B23" s="3">
        <f t="shared" si="6"/>
        <v>43914</v>
      </c>
      <c r="C23" s="8">
        <v>405</v>
      </c>
      <c r="D23" s="9">
        <f t="shared" si="3"/>
        <v>38</v>
      </c>
      <c r="E23" s="15">
        <f t="shared" si="4"/>
        <v>1.103542234332425</v>
      </c>
      <c r="F23" s="15">
        <f t="shared" si="5"/>
        <v>7.0352259779735453</v>
      </c>
      <c r="G23" s="5"/>
      <c r="H23" s="5"/>
      <c r="I23" s="5"/>
      <c r="J23" s="29"/>
    </row>
    <row r="24" spans="1:10" x14ac:dyDescent="0.25">
      <c r="A24" s="4">
        <v>27</v>
      </c>
      <c r="B24" s="3">
        <f t="shared" si="6"/>
        <v>43915</v>
      </c>
      <c r="C24" s="8">
        <v>475</v>
      </c>
      <c r="D24" s="9">
        <f t="shared" si="3"/>
        <v>70</v>
      </c>
      <c r="E24" s="15">
        <f t="shared" si="4"/>
        <v>1.1728395061728396</v>
      </c>
      <c r="F24" s="15">
        <f t="shared" si="5"/>
        <v>4.3477201264704455</v>
      </c>
      <c r="G24" s="5"/>
      <c r="H24" s="5"/>
      <c r="I24" s="5"/>
      <c r="J24" s="29"/>
    </row>
    <row r="25" spans="1:10" x14ac:dyDescent="0.25">
      <c r="A25" s="4">
        <v>28</v>
      </c>
      <c r="B25" s="3">
        <f t="shared" si="6"/>
        <v>43916</v>
      </c>
      <c r="C25" s="8">
        <v>585</v>
      </c>
      <c r="D25" s="9">
        <f t="shared" si="3"/>
        <v>110</v>
      </c>
      <c r="E25" s="15">
        <f t="shared" si="4"/>
        <v>1.2315789473684211</v>
      </c>
      <c r="F25" s="15">
        <f t="shared" si="5"/>
        <v>3.3276861251634502</v>
      </c>
      <c r="G25" s="5"/>
      <c r="H25" s="5"/>
      <c r="I25" s="5"/>
      <c r="J25" s="29"/>
    </row>
    <row r="26" spans="1:10" x14ac:dyDescent="0.25">
      <c r="A26" s="4">
        <v>29</v>
      </c>
      <c r="B26" s="3">
        <f t="shared" si="6"/>
        <v>43917</v>
      </c>
      <c r="C26" s="8">
        <v>717</v>
      </c>
      <c r="D26" s="9">
        <f t="shared" si="3"/>
        <v>132</v>
      </c>
      <c r="E26" s="15">
        <f t="shared" si="4"/>
        <v>1.2256410256410257</v>
      </c>
      <c r="F26" s="15">
        <f t="shared" si="5"/>
        <v>3.40673142744757</v>
      </c>
      <c r="G26" s="5"/>
      <c r="H26" s="5"/>
      <c r="I26" s="5"/>
      <c r="J26" s="29"/>
    </row>
    <row r="27" spans="1:10" x14ac:dyDescent="0.25">
      <c r="A27" s="4">
        <v>30</v>
      </c>
      <c r="B27" s="3">
        <f t="shared" si="6"/>
        <v>43918</v>
      </c>
      <c r="C27" s="8">
        <v>848</v>
      </c>
      <c r="D27" s="9">
        <f t="shared" si="3"/>
        <v>131</v>
      </c>
      <c r="E27" s="15">
        <f t="shared" si="4"/>
        <v>1.1827057182705718</v>
      </c>
      <c r="F27" s="15">
        <f t="shared" si="5"/>
        <v>4.1306756446720598</v>
      </c>
      <c r="G27" s="5"/>
      <c r="H27" s="5"/>
      <c r="I27" s="5"/>
      <c r="J27" s="29"/>
    </row>
    <row r="28" spans="1:10" x14ac:dyDescent="0.25">
      <c r="A28" s="4">
        <v>31</v>
      </c>
      <c r="B28" s="3">
        <f t="shared" si="6"/>
        <v>43919</v>
      </c>
      <c r="C28" s="8">
        <v>993</v>
      </c>
      <c r="D28" s="9">
        <f t="shared" si="3"/>
        <v>145</v>
      </c>
      <c r="E28" s="15">
        <f t="shared" si="4"/>
        <v>1.1709905660377358</v>
      </c>
      <c r="F28" s="15">
        <f t="shared" si="5"/>
        <v>4.3911755241994292</v>
      </c>
      <c r="G28" s="5"/>
      <c r="H28" s="5"/>
      <c r="I28" s="5"/>
      <c r="J28" s="29"/>
    </row>
    <row r="29" spans="1:10" x14ac:dyDescent="0.25">
      <c r="A29" s="4">
        <v>32</v>
      </c>
      <c r="B29" s="3">
        <f t="shared" si="6"/>
        <v>43920</v>
      </c>
      <c r="C29" s="8">
        <v>1094</v>
      </c>
      <c r="D29" s="9">
        <f t="shared" si="3"/>
        <v>101</v>
      </c>
      <c r="E29" s="15">
        <f t="shared" si="4"/>
        <v>1.1017119838872105</v>
      </c>
      <c r="F29" s="15">
        <f t="shared" si="5"/>
        <v>7.1557827731153241</v>
      </c>
      <c r="G29" s="5"/>
      <c r="H29" s="5"/>
      <c r="I29" s="5"/>
      <c r="J29" s="29"/>
    </row>
    <row r="30" spans="1:10" x14ac:dyDescent="0.25">
      <c r="A30" s="4">
        <v>33</v>
      </c>
      <c r="B30" s="3">
        <f t="shared" si="6"/>
        <v>43921</v>
      </c>
      <c r="C30" s="8">
        <v>1215</v>
      </c>
      <c r="D30" s="9">
        <f t="shared" si="3"/>
        <v>121</v>
      </c>
      <c r="E30" s="15">
        <f t="shared" si="4"/>
        <v>1.1106032906764167</v>
      </c>
      <c r="F30" s="15">
        <f t="shared" si="5"/>
        <v>6.6074823154592899</v>
      </c>
      <c r="G30" s="5"/>
      <c r="H30" s="5"/>
      <c r="I30" s="5"/>
      <c r="J30" s="29"/>
    </row>
    <row r="31" spans="1:10" x14ac:dyDescent="0.25">
      <c r="A31" s="4">
        <v>34</v>
      </c>
      <c r="B31" s="3">
        <f t="shared" si="6"/>
        <v>43922</v>
      </c>
      <c r="C31" s="8">
        <v>1378</v>
      </c>
      <c r="D31" s="9">
        <f t="shared" si="3"/>
        <v>163</v>
      </c>
      <c r="E31" s="15">
        <f t="shared" si="4"/>
        <v>1.1341563786008231</v>
      </c>
      <c r="F31" s="15">
        <f>IFERROR(LOG(2)/LOG(E31),F30)</f>
        <v>5.5060144499480836</v>
      </c>
      <c r="G31" s="6"/>
      <c r="H31" s="6"/>
      <c r="I31" s="6"/>
    </row>
    <row r="32" spans="1:10" x14ac:dyDescent="0.25">
      <c r="A32" s="4">
        <v>35</v>
      </c>
      <c r="B32" s="3">
        <f t="shared" si="6"/>
        <v>43923</v>
      </c>
      <c r="C32" s="8">
        <v>1510</v>
      </c>
      <c r="D32" s="9">
        <f t="shared" si="3"/>
        <v>132</v>
      </c>
      <c r="E32" s="15">
        <f t="shared" si="4"/>
        <v>1.0957910014513788</v>
      </c>
      <c r="F32" s="15">
        <f>IFERROR(LOG(2)/LOG(E32),F31)</f>
        <v>7.5773269143188875</v>
      </c>
      <c r="G32" s="7"/>
      <c r="H32" s="7"/>
      <c r="I32" s="7"/>
    </row>
    <row r="33" spans="1:10" x14ac:dyDescent="0.25">
      <c r="A33" s="4">
        <v>36</v>
      </c>
      <c r="B33" s="3">
        <f t="shared" si="6"/>
        <v>43924</v>
      </c>
      <c r="C33" s="8">
        <v>1688</v>
      </c>
      <c r="D33" s="9">
        <f t="shared" si="3"/>
        <v>178</v>
      </c>
      <c r="E33" s="15">
        <f t="shared" si="4"/>
        <v>1.1178807947019866</v>
      </c>
      <c r="F33" s="15">
        <f>IFERROR(LOG(2)/LOG(E33),F32)</f>
        <v>6.2202069776527464</v>
      </c>
      <c r="G33" s="7"/>
      <c r="H33" s="7"/>
      <c r="I33" s="7"/>
    </row>
    <row r="34" spans="1:10" x14ac:dyDescent="0.25">
      <c r="A34" s="4">
        <v>37</v>
      </c>
      <c r="B34" s="3">
        <f t="shared" si="6"/>
        <v>43925</v>
      </c>
      <c r="C34" s="8">
        <v>1890</v>
      </c>
      <c r="D34" s="9">
        <f t="shared" ref="D34:D36" si="7">+C34-C33</f>
        <v>202</v>
      </c>
      <c r="E34" s="15">
        <f t="shared" ref="E34:E36" si="8">+C34/C33</f>
        <v>1.1196682464454977</v>
      </c>
      <c r="F34" s="15">
        <f t="shared" ref="F34:F36" si="9">IFERROR(LOG(2)/LOG(E34),F33)</f>
        <v>6.1322857766562695</v>
      </c>
      <c r="G34" s="7"/>
      <c r="H34" s="7"/>
      <c r="I34" s="7"/>
    </row>
    <row r="35" spans="1:10" x14ac:dyDescent="0.25">
      <c r="A35" s="4">
        <v>38</v>
      </c>
      <c r="B35" s="3">
        <f t="shared" si="6"/>
        <v>43926</v>
      </c>
      <c r="C35" s="8">
        <v>2143</v>
      </c>
      <c r="D35" s="9">
        <f t="shared" si="7"/>
        <v>253</v>
      </c>
      <c r="E35" s="15">
        <f t="shared" si="8"/>
        <v>1.1338624338624339</v>
      </c>
      <c r="F35" s="15">
        <f t="shared" si="9"/>
        <v>5.5173748444369801</v>
      </c>
      <c r="G35" s="7"/>
      <c r="H35" s="7"/>
      <c r="I35" s="7"/>
    </row>
    <row r="36" spans="1:10" x14ac:dyDescent="0.25">
      <c r="A36" s="4">
        <v>39</v>
      </c>
      <c r="B36" s="3">
        <f t="shared" si="6"/>
        <v>43927</v>
      </c>
      <c r="C36" s="8">
        <v>2439</v>
      </c>
      <c r="D36" s="9">
        <f t="shared" si="7"/>
        <v>296</v>
      </c>
      <c r="E36" s="15">
        <f t="shared" si="8"/>
        <v>1.1381241250583294</v>
      </c>
      <c r="F36" s="15">
        <f t="shared" si="9"/>
        <v>5.3573942302999633</v>
      </c>
      <c r="G36" s="7">
        <f>+C36</f>
        <v>2439</v>
      </c>
      <c r="H36" s="7">
        <f>+C36</f>
        <v>2439</v>
      </c>
      <c r="I36" s="7">
        <f>+C36</f>
        <v>2439</v>
      </c>
      <c r="J36">
        <f>LOG(2)/LOG(I36/C35)</f>
        <v>5.3573942302999633</v>
      </c>
    </row>
    <row r="37" spans="1:10" x14ac:dyDescent="0.25">
      <c r="A37" s="4">
        <v>40</v>
      </c>
      <c r="B37" s="3">
        <f t="shared" si="6"/>
        <v>43928</v>
      </c>
      <c r="C37" s="4"/>
      <c r="D37" s="10"/>
      <c r="E37" s="10"/>
      <c r="F37" s="10"/>
      <c r="G37" s="7">
        <f>+H37-_xlfn.FORECAST.ETS.CONFINT(B37,$C$3:$C$36,$B$3:$B$36)</f>
        <v>2676.8335874828213</v>
      </c>
      <c r="H37" s="7">
        <f>+_xlfn.FORECAST.ETS(B37,$C$3:$C$36,$B$3:$B$36)</f>
        <v>2730.2560358882311</v>
      </c>
      <c r="I37" s="7">
        <f>+H37+_xlfn.FORECAST.ETS.CONFINT(B37,$C$3:$C$36,$B$3:$B$36)</f>
        <v>2783.6784842936408</v>
      </c>
      <c r="J37">
        <f>LOG(2)/LOG(I37/I36)</f>
        <v>5.2437606455976811</v>
      </c>
    </row>
    <row r="38" spans="1:10" x14ac:dyDescent="0.25">
      <c r="A38" s="4">
        <v>41</v>
      </c>
      <c r="B38" s="3">
        <f t="shared" si="6"/>
        <v>43929</v>
      </c>
      <c r="C38" s="4"/>
      <c r="D38" s="10"/>
      <c r="E38" s="10"/>
      <c r="F38" s="10"/>
      <c r="G38" s="7">
        <f t="shared" ref="G38:G40" si="10">+H38-_xlfn.FORECAST.ETS.CONFINT(B38,$C$3:$C$36,$B$3:$B$36)</f>
        <v>2916.6062917963786</v>
      </c>
      <c r="H38" s="7">
        <f t="shared" ref="H38:H40" si="11">+_xlfn.FORECAST.ETS(B38,$C$3:$C$36,$B$3:$B$36)</f>
        <v>3026.5631492367697</v>
      </c>
      <c r="I38" s="7">
        <f t="shared" ref="I38:I40" si="12">+H38+_xlfn.FORECAST.ETS.CONFINT(B38,$C$3:$C$36,$B$3:$B$36)</f>
        <v>3136.5200066771608</v>
      </c>
      <c r="J38">
        <f t="shared" ref="J38:J44" si="13">LOG(2)/LOG(I38/I37)</f>
        <v>5.8081394061088085</v>
      </c>
    </row>
    <row r="39" spans="1:10" x14ac:dyDescent="0.25">
      <c r="A39" s="4">
        <v>42</v>
      </c>
      <c r="B39" s="3">
        <f t="shared" si="6"/>
        <v>43930</v>
      </c>
      <c r="C39" s="4"/>
      <c r="D39" s="10"/>
      <c r="E39" s="10"/>
      <c r="F39" s="10"/>
      <c r="G39" s="7">
        <f t="shared" si="10"/>
        <v>3141.5830513948317</v>
      </c>
      <c r="H39" s="7">
        <f t="shared" si="11"/>
        <v>3322.870262585308</v>
      </c>
      <c r="I39" s="7">
        <f t="shared" si="12"/>
        <v>3504.1574737757842</v>
      </c>
      <c r="J39">
        <f t="shared" si="13"/>
        <v>6.2537974322179366</v>
      </c>
    </row>
    <row r="40" spans="1:10" x14ac:dyDescent="0.25">
      <c r="A40" s="4">
        <v>43</v>
      </c>
      <c r="B40" s="3">
        <f t="shared" si="6"/>
        <v>43931</v>
      </c>
      <c r="C40" s="4"/>
      <c r="D40" s="10"/>
      <c r="E40" s="10"/>
      <c r="F40" s="10"/>
      <c r="G40" s="7">
        <f t="shared" si="10"/>
        <v>3354.9980263782704</v>
      </c>
      <c r="H40" s="7">
        <f t="shared" si="11"/>
        <v>3619.1773759338466</v>
      </c>
      <c r="I40" s="7">
        <f t="shared" si="12"/>
        <v>3883.3567254894228</v>
      </c>
      <c r="J40">
        <f t="shared" si="13"/>
        <v>6.7459709712829543</v>
      </c>
    </row>
    <row r="41" spans="1:10" x14ac:dyDescent="0.25">
      <c r="A41" s="4">
        <v>44</v>
      </c>
      <c r="B41" s="3">
        <f t="shared" ref="B41:B43" si="14">+$B$3+A41-1</f>
        <v>43932</v>
      </c>
      <c r="G41" s="7">
        <f t="shared" ref="G41:G44" si="15">+H41-_xlfn.FORECAST.ETS.CONFINT(B41,$C$3:$C$36,$B$3:$B$36)</f>
        <v>3558.4401205014933</v>
      </c>
      <c r="H41" s="7">
        <f t="shared" ref="H41:H44" si="16">+_xlfn.FORECAST.ETS(B41,$C$3:$C$36,$B$3:$B$36)</f>
        <v>3915.4844892823849</v>
      </c>
      <c r="I41" s="7">
        <f t="shared" ref="I41:I44" si="17">+H41+_xlfn.FORECAST.ETS.CONFINT(B41,$C$3:$C$36,$B$3:$B$36)</f>
        <v>4272.5288580632759</v>
      </c>
      <c r="J41">
        <f t="shared" si="13"/>
        <v>7.2576315603958115</v>
      </c>
    </row>
    <row r="42" spans="1:10" x14ac:dyDescent="0.25">
      <c r="A42" s="4">
        <v>45</v>
      </c>
      <c r="B42" s="3">
        <f t="shared" si="14"/>
        <v>43933</v>
      </c>
      <c r="G42" s="7">
        <f t="shared" si="15"/>
        <v>3752.9364468468229</v>
      </c>
      <c r="H42" s="7">
        <f t="shared" si="16"/>
        <v>4211.7916026309231</v>
      </c>
      <c r="I42" s="7">
        <f t="shared" si="17"/>
        <v>4670.6467584150232</v>
      </c>
      <c r="J42">
        <f t="shared" si="13"/>
        <v>7.7801575391820101</v>
      </c>
    </row>
    <row r="43" spans="1:10" x14ac:dyDescent="0.25">
      <c r="A43" s="4">
        <v>46</v>
      </c>
      <c r="B43" s="3">
        <f t="shared" si="14"/>
        <v>43934</v>
      </c>
      <c r="G43" s="7">
        <f t="shared" si="15"/>
        <v>3939.2349446994285</v>
      </c>
      <c r="H43" s="7">
        <f t="shared" si="16"/>
        <v>4508.0987159794622</v>
      </c>
      <c r="I43" s="7">
        <f t="shared" si="17"/>
        <v>5076.9624872594959</v>
      </c>
      <c r="J43">
        <f t="shared" si="13"/>
        <v>8.3095636715258703</v>
      </c>
    </row>
    <row r="44" spans="1:10" x14ac:dyDescent="0.25">
      <c r="A44" s="4">
        <v>47</v>
      </c>
      <c r="B44" s="3">
        <f t="shared" ref="B44" si="18">+$B$3+A44-1</f>
        <v>43935</v>
      </c>
      <c r="G44" s="7">
        <f t="shared" si="15"/>
        <v>4117.9164750457676</v>
      </c>
      <c r="H44" s="7">
        <f t="shared" si="16"/>
        <v>4804.4058293279995</v>
      </c>
      <c r="I44" s="7">
        <f t="shared" si="17"/>
        <v>5490.8951836102315</v>
      </c>
      <c r="J44">
        <f t="shared" si="13"/>
        <v>8.8436274818237024</v>
      </c>
    </row>
  </sheetData>
  <mergeCells count="1">
    <mergeCell ref="G1:J1"/>
  </mergeCells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Pronósticos 0104</vt:lpstr>
      <vt:lpstr>Pronósticos 0204 (2)</vt:lpstr>
      <vt:lpstr>Pronósticos 0304 (3)</vt:lpstr>
      <vt:lpstr>Pronósticos 0604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Nieto Loya</dc:creator>
  <cp:lastModifiedBy>Carlos Nieto Loya</cp:lastModifiedBy>
  <cp:lastPrinted>2020-03-22T02:57:25Z</cp:lastPrinted>
  <dcterms:created xsi:type="dcterms:W3CDTF">2020-03-21T20:53:13Z</dcterms:created>
  <dcterms:modified xsi:type="dcterms:W3CDTF">2020-04-07T02:24:58Z</dcterms:modified>
</cp:coreProperties>
</file>